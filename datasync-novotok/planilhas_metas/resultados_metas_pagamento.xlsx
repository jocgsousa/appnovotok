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D:\working\waccache\PA1PEPF0012DDE7\EXCELCNV\33aac602-9ae1-4b44-914c-953dac3d92fb\"/>
    </mc:Choice>
  </mc:AlternateContent>
  <xr:revisionPtr revIDLastSave="0" documentId="8_{11145695-592C-4750-8F6F-27B066DD3257}" xr6:coauthVersionLast="47" xr6:coauthVersionMax="47" xr10:uidLastSave="{00000000-0000-0000-0000-000000000000}"/>
  <bookViews>
    <workbookView xWindow="-60" yWindow="-60" windowWidth="15480" windowHeight="11640" tabRatio="751" firstSheet="6" activeTab="6" xr2:uid="{8AB1C30D-5E8E-42AF-AA24-67823B135B73}"/>
  </bookViews>
  <sheets>
    <sheet name="SÃO FÉLIX" sheetId="8" r:id="rId1"/>
    <sheet name="CIDADE NOVA" sheetId="9" r:id="rId2"/>
    <sheet name="VELHA" sheetId="10" r:id="rId3"/>
    <sheet name="SHOPPING" sheetId="11" r:id="rId4"/>
    <sheet name="FOLHA 28" sheetId="12" r:id="rId5"/>
    <sheet name="ITUPIRANGA" sheetId="14" r:id="rId6"/>
    <sheet name="PARAUAPEBAS" sheetId="1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9" l="1"/>
  <c r="D21" i="9"/>
  <c r="C21" i="9"/>
  <c r="B29" i="9"/>
  <c r="J3" i="9"/>
  <c r="I4" i="15"/>
  <c r="H4" i="15"/>
  <c r="E7" i="15"/>
  <c r="K4" i="15"/>
  <c r="E13" i="15"/>
  <c r="E7" i="14"/>
  <c r="C13" i="14"/>
  <c r="I13" i="14"/>
  <c r="H13" i="14"/>
  <c r="K4" i="12"/>
  <c r="I4" i="12"/>
  <c r="K3" i="12"/>
  <c r="I3" i="12"/>
  <c r="H4" i="12"/>
  <c r="H3" i="12"/>
  <c r="H3" i="11"/>
  <c r="G3" i="11"/>
  <c r="J3" i="11"/>
  <c r="I14" i="10"/>
  <c r="K4" i="10"/>
  <c r="K3" i="10"/>
  <c r="I4" i="10"/>
  <c r="I3" i="10"/>
  <c r="H4" i="10"/>
  <c r="H3" i="10"/>
  <c r="E16" i="9"/>
  <c r="K12" i="9"/>
  <c r="K11" i="9"/>
  <c r="K10" i="9"/>
  <c r="I12" i="9"/>
  <c r="I11" i="9"/>
  <c r="I10" i="9"/>
  <c r="H12" i="9"/>
  <c r="H11" i="9"/>
  <c r="H10" i="9"/>
  <c r="F14" i="8"/>
  <c r="F13" i="8"/>
  <c r="I10" i="8"/>
  <c r="E7" i="8"/>
  <c r="K4" i="8"/>
  <c r="K3" i="8"/>
  <c r="I4" i="8"/>
  <c r="I3" i="8"/>
  <c r="H4" i="8"/>
  <c r="H3" i="8"/>
  <c r="I12" i="12"/>
  <c r="E12" i="12"/>
  <c r="E9" i="12"/>
  <c r="I12" i="11"/>
  <c r="C12" i="11"/>
  <c r="C14" i="10"/>
  <c r="J12" i="9"/>
  <c r="J11" i="9"/>
  <c r="E10" i="8"/>
  <c r="H12" i="11"/>
  <c r="D7" i="15"/>
  <c r="H5" i="11"/>
  <c r="H4" i="11"/>
  <c r="G5" i="11"/>
  <c r="J5" i="11"/>
  <c r="G4" i="11"/>
  <c r="C29" i="9"/>
  <c r="I13" i="15"/>
  <c r="E15" i="12"/>
  <c r="I5" i="12"/>
  <c r="D7" i="10"/>
  <c r="E7" i="10"/>
  <c r="H3" i="14"/>
  <c r="K3" i="14"/>
  <c r="I3" i="14"/>
  <c r="H4" i="14"/>
  <c r="K4" i="14"/>
  <c r="I4" i="14"/>
  <c r="D16" i="9"/>
  <c r="D7" i="8"/>
  <c r="I3" i="15"/>
  <c r="H3" i="15"/>
  <c r="H5" i="12"/>
  <c r="K5" i="12"/>
  <c r="E10" i="15"/>
  <c r="E8" i="12"/>
  <c r="J13" i="9"/>
  <c r="I13" i="9"/>
  <c r="M13" i="9"/>
  <c r="E9" i="11"/>
  <c r="E8" i="11"/>
  <c r="E11" i="10"/>
  <c r="E10" i="10"/>
  <c r="E10" i="14"/>
  <c r="E7" i="9"/>
  <c r="E6" i="9"/>
  <c r="K3" i="15"/>
  <c r="J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C11" authorId="0" shapeId="0" xr:uid="{41F227D3-3803-485E-8C22-7CE97F3516A4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Atingido apenas 80% da meta</t>
        </r>
      </text>
    </comment>
  </commentList>
</comments>
</file>

<file path=xl/sharedStrings.xml><?xml version="1.0" encoding="utf-8"?>
<sst xmlns="http://schemas.openxmlformats.org/spreadsheetml/2006/main" count="254" uniqueCount="98">
  <si>
    <t>SÃO FÉLIX</t>
  </si>
  <si>
    <t>NOME</t>
  </si>
  <si>
    <t>FUNÇÃO</t>
  </si>
  <si>
    <t>VALOR VENDIDO TOTAL</t>
  </si>
  <si>
    <t>ESMALTES</t>
  </si>
  <si>
    <t>PROFISSIONAL / PARCEIRAS 2%</t>
  </si>
  <si>
    <t>makes/bijou</t>
  </si>
  <si>
    <t>MALKA (valor)</t>
  </si>
  <si>
    <t>MALKA (quant.)</t>
  </si>
  <si>
    <t>TOTAL A PAGAR</t>
  </si>
  <si>
    <t>KESYA PEREIRA DA SILVA (JANCIELMA)</t>
  </si>
  <si>
    <t>ATENDENTE DE LOJA</t>
  </si>
  <si>
    <t>ARIANE MORENO DE SOUSA SANTOS</t>
  </si>
  <si>
    <t>BIJOU, MAKES E BOLSAS</t>
  </si>
  <si>
    <t>total</t>
  </si>
  <si>
    <t>JANCIELMA</t>
  </si>
  <si>
    <t>TOTAL</t>
  </si>
  <si>
    <t>KEILYANE</t>
  </si>
  <si>
    <t>SUPERVISOR DE LOJA</t>
  </si>
  <si>
    <t>BONIFICAÇÃO CADASTRO</t>
  </si>
  <si>
    <t>Por fora</t>
  </si>
  <si>
    <t>OLEOS</t>
  </si>
  <si>
    <t>AMANDA FEITOZA</t>
  </si>
  <si>
    <t>OPERADOR(A) DE CAIXA</t>
  </si>
  <si>
    <t>GILMARA</t>
  </si>
  <si>
    <t>CIDADE NOVA</t>
  </si>
  <si>
    <t>ALINE SILVA</t>
  </si>
  <si>
    <t>BONIFICAÇÃO CADSTRO</t>
  </si>
  <si>
    <t xml:space="preserve">MILENE PEREIRA BARROS </t>
  </si>
  <si>
    <t>MILENA TEIXEIRA</t>
  </si>
  <si>
    <t xml:space="preserve">ESMALTES </t>
  </si>
  <si>
    <t>PROFISSIONAL / PARCEIRAS</t>
  </si>
  <si>
    <t>MAKE BIJOU</t>
  </si>
  <si>
    <t>MALKA(VALOR)</t>
  </si>
  <si>
    <t>MALKA(QUANT)</t>
  </si>
  <si>
    <t>ELIZANGELA GONÇALVES DE SOUSA</t>
  </si>
  <si>
    <t xml:space="preserve">ELLEN LARISSA CUNHA DOS SANTOS </t>
  </si>
  <si>
    <t>KAROLINA</t>
  </si>
  <si>
    <t>ROSANGELA ALVES MENEZES</t>
  </si>
  <si>
    <t>bijou makes e bolsas</t>
  </si>
  <si>
    <t>PATRICIA</t>
  </si>
  <si>
    <t>PROMOTORA DE VENDAS</t>
  </si>
  <si>
    <t xml:space="preserve">1,00 </t>
  </si>
  <si>
    <t>0,50</t>
  </si>
  <si>
    <t>CLAUDETE BENICIO DE MATOS</t>
  </si>
  <si>
    <t>MARCAS AGOSTO</t>
  </si>
  <si>
    <t>META</t>
  </si>
  <si>
    <t>VALOR VENDIDO</t>
  </si>
  <si>
    <t>LANOX 7</t>
  </si>
  <si>
    <t>BIOVEGETAIS 168</t>
  </si>
  <si>
    <t>BOTHANICO 28</t>
  </si>
  <si>
    <t>DESALFY 231</t>
  </si>
  <si>
    <t>SELAGEM DNA E FUGAZ ENZIMATICA  (caviar deluxe)</t>
  </si>
  <si>
    <t xml:space="preserve">COLORAÇÃO MINAS FLOR / ITALLIAN </t>
  </si>
  <si>
    <t>VELHA</t>
  </si>
  <si>
    <t>MAKES/BIJOU</t>
  </si>
  <si>
    <t>ALTAMIRA</t>
  </si>
  <si>
    <t>ANA NATALIA</t>
  </si>
  <si>
    <t>MARILYN (JOCASTA )</t>
  </si>
  <si>
    <t>REPARADORES</t>
  </si>
  <si>
    <t>LAVINIA</t>
  </si>
  <si>
    <t>LETICIA</t>
  </si>
  <si>
    <t>TAIRES SILVA ALBUQUERQUE</t>
  </si>
  <si>
    <t>SUPERVISORA DE LOJA</t>
  </si>
  <si>
    <t>SHOPPING</t>
  </si>
  <si>
    <t>M. FLOR</t>
  </si>
  <si>
    <t>NILDENE</t>
  </si>
  <si>
    <t>LARISSA</t>
  </si>
  <si>
    <t xml:space="preserve">JAINE </t>
  </si>
  <si>
    <t>JACKELINE MONTEIRO DA SILVA BORGES</t>
  </si>
  <si>
    <t>ALINE</t>
  </si>
  <si>
    <t>POR FORA</t>
  </si>
  <si>
    <t>KAMILLA</t>
  </si>
  <si>
    <t>FOLHA 28</t>
  </si>
  <si>
    <t>BIJOU/MAKES/BOLSAS</t>
  </si>
  <si>
    <t>REGIANE</t>
  </si>
  <si>
    <t>HILVA SOUZA SILVA</t>
  </si>
  <si>
    <t>KEILA</t>
  </si>
  <si>
    <t>,</t>
  </si>
  <si>
    <t>OLEO</t>
  </si>
  <si>
    <t>SARA</t>
  </si>
  <si>
    <t>MILENA LUZ</t>
  </si>
  <si>
    <t>JANIELE</t>
  </si>
  <si>
    <t>BIJOU / MAKE / BOLSAS</t>
  </si>
  <si>
    <t>TOTAL PAGAR</t>
  </si>
  <si>
    <t xml:space="preserve">ITUPIRANGA </t>
  </si>
  <si>
    <t>Makes / bijou e bolsas</t>
  </si>
  <si>
    <t>ERICA</t>
  </si>
  <si>
    <t>HEROÍNA</t>
  </si>
  <si>
    <t>BIJOU / MAKES / BOLSAS</t>
  </si>
  <si>
    <t>ELÂINE</t>
  </si>
  <si>
    <t>LUANA SOARES</t>
  </si>
  <si>
    <t xml:space="preserve">CLAUDIA </t>
  </si>
  <si>
    <t>JESSICA</t>
  </si>
  <si>
    <t>YEDA</t>
  </si>
  <si>
    <t>EMILLY</t>
  </si>
  <si>
    <t>MARIA ESTEFANNI</t>
  </si>
  <si>
    <t>LUZIANE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</si>
</sst>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2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Courier New"/>
      <family val="1"/>
    </font>
    <font>
      <sz val="11"/>
      <name val="Courier New"/>
      <family val="3"/>
    </font>
    <font>
      <sz val="12"/>
      <name val="Arial"/>
      <family val="2"/>
    </font>
    <font>
      <b/>
      <sz val="11"/>
      <name val="Courier New"/>
      <family val="3"/>
    </font>
    <font>
      <sz val="11"/>
      <name val="Calibri"/>
      <family val="2"/>
    </font>
    <font>
      <b/>
      <sz val="11"/>
      <name val="Courier New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1"/>
      <name val="Courier New"/>
      <family val="1"/>
    </font>
    <font>
      <sz val="10"/>
      <color theme="1"/>
      <name val="Arial"/>
      <family val="2"/>
    </font>
    <font>
      <sz val="11"/>
      <color theme="1"/>
      <name val="Courier New"/>
      <family val="3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306">
    <xf numFmtId="0" fontId="0" fillId="0" borderId="0" xfId="0"/>
    <xf numFmtId="0" fontId="3" fillId="0" borderId="1" xfId="0" applyFont="1" applyBorder="1"/>
    <xf numFmtId="0" fontId="1" fillId="0" borderId="0" xfId="0" applyFont="1"/>
    <xf numFmtId="164" fontId="4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top"/>
    </xf>
    <xf numFmtId="164" fontId="4" fillId="2" borderId="1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Border="1"/>
    <xf numFmtId="164" fontId="1" fillId="2" borderId="0" xfId="0" applyNumberFormat="1" applyFont="1" applyFill="1" applyBorder="1" applyAlignment="1">
      <alignment vertical="top"/>
    </xf>
    <xf numFmtId="164" fontId="4" fillId="2" borderId="0" xfId="0" applyNumberFormat="1" applyFont="1" applyFill="1" applyBorder="1" applyAlignment="1">
      <alignment vertical="top" wrapText="1"/>
    </xf>
    <xf numFmtId="164" fontId="4" fillId="0" borderId="0" xfId="0" applyNumberFormat="1" applyFont="1" applyBorder="1" applyAlignment="1">
      <alignment vertical="top" wrapText="1"/>
    </xf>
    <xf numFmtId="49" fontId="4" fillId="0" borderId="1" xfId="0" applyNumberFormat="1" applyFont="1" applyFill="1" applyBorder="1" applyAlignment="1">
      <alignment vertical="top"/>
    </xf>
    <xf numFmtId="0" fontId="1" fillId="0" borderId="0" xfId="0" applyFont="1" applyFill="1"/>
    <xf numFmtId="10" fontId="3" fillId="0" borderId="2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vertical="top" wrapText="1"/>
    </xf>
    <xf numFmtId="164" fontId="4" fillId="2" borderId="3" xfId="0" applyNumberFormat="1" applyFont="1" applyFill="1" applyBorder="1" applyAlignment="1">
      <alignment vertical="top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vertical="top" wrapText="1"/>
    </xf>
    <xf numFmtId="49" fontId="4" fillId="0" borderId="0" xfId="0" applyNumberFormat="1" applyFont="1" applyFill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/>
    <xf numFmtId="164" fontId="1" fillId="0" borderId="1" xfId="0" applyNumberFormat="1" applyFont="1" applyFill="1" applyBorder="1" applyAlignment="1"/>
    <xf numFmtId="0" fontId="1" fillId="0" borderId="0" xfId="0" applyFont="1" applyFill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  <xf numFmtId="164" fontId="1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6" fillId="0" borderId="1" xfId="0" applyNumberFormat="1" applyFont="1" applyFill="1" applyBorder="1"/>
    <xf numFmtId="164" fontId="1" fillId="0" borderId="0" xfId="0" applyNumberFormat="1" applyFont="1" applyFill="1"/>
    <xf numFmtId="164" fontId="6" fillId="2" borderId="1" xfId="0" applyNumberFormat="1" applyFont="1" applyFill="1" applyBorder="1"/>
    <xf numFmtId="164" fontId="6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164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top" wrapText="1"/>
    </xf>
    <xf numFmtId="164" fontId="6" fillId="0" borderId="1" xfId="0" applyNumberFormat="1" applyFont="1" applyFill="1" applyBorder="1" applyAlignment="1">
      <alignment vertical="top" wrapText="1"/>
    </xf>
    <xf numFmtId="0" fontId="16" fillId="0" borderId="0" xfId="0" applyFont="1" applyFill="1" applyAlignment="1">
      <alignment vertical="center" wrapText="1"/>
    </xf>
    <xf numFmtId="164" fontId="1" fillId="0" borderId="0" xfId="0" applyNumberFormat="1" applyFont="1"/>
    <xf numFmtId="0" fontId="3" fillId="0" borderId="0" xfId="0" applyFont="1" applyAlignment="1"/>
    <xf numFmtId="49" fontId="4" fillId="3" borderId="1" xfId="0" applyNumberFormat="1" applyFont="1" applyFill="1" applyBorder="1" applyAlignment="1">
      <alignment vertical="top" wrapText="1"/>
    </xf>
    <xf numFmtId="49" fontId="9" fillId="3" borderId="1" xfId="0" applyNumberFormat="1" applyFont="1" applyFill="1" applyBorder="1" applyAlignment="1">
      <alignment vertical="top"/>
    </xf>
    <xf numFmtId="0" fontId="3" fillId="3" borderId="0" xfId="0" applyFont="1" applyFill="1"/>
    <xf numFmtId="0" fontId="17" fillId="3" borderId="0" xfId="0" applyFont="1" applyFill="1"/>
    <xf numFmtId="164" fontId="1" fillId="3" borderId="0" xfId="0" applyNumberFormat="1" applyFont="1" applyFill="1"/>
    <xf numFmtId="49" fontId="5" fillId="3" borderId="1" xfId="0" applyNumberFormat="1" applyFont="1" applyFill="1" applyBorder="1" applyAlignment="1">
      <alignment vertical="top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top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8" fontId="1" fillId="0" borderId="0" xfId="0" applyNumberFormat="1" applyFont="1"/>
    <xf numFmtId="8" fontId="1" fillId="0" borderId="1" xfId="0" applyNumberFormat="1" applyFont="1" applyBorder="1"/>
    <xf numFmtId="44" fontId="1" fillId="0" borderId="1" xfId="1" applyFont="1" applyBorder="1"/>
    <xf numFmtId="4" fontId="6" fillId="0" borderId="0" xfId="0" applyNumberFormat="1" applyFont="1"/>
    <xf numFmtId="164" fontId="6" fillId="0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Fill="1" applyBorder="1"/>
    <xf numFmtId="4" fontId="6" fillId="0" borderId="1" xfId="0" applyNumberFormat="1" applyFont="1" applyBorder="1"/>
    <xf numFmtId="0" fontId="6" fillId="0" borderId="1" xfId="0" applyFont="1" applyBorder="1"/>
    <xf numFmtId="0" fontId="6" fillId="0" borderId="0" xfId="0" applyFont="1" applyFill="1"/>
    <xf numFmtId="49" fontId="6" fillId="0" borderId="1" xfId="0" applyNumberFormat="1" applyFont="1" applyFill="1" applyBorder="1" applyAlignment="1">
      <alignment vertical="top"/>
    </xf>
    <xf numFmtId="0" fontId="6" fillId="2" borderId="1" xfId="0" applyFont="1" applyFill="1" applyBorder="1"/>
    <xf numFmtId="49" fontId="6" fillId="2" borderId="1" xfId="0" applyNumberFormat="1" applyFont="1" applyFill="1" applyBorder="1" applyAlignment="1">
      <alignment vertical="top"/>
    </xf>
    <xf numFmtId="164" fontId="6" fillId="2" borderId="1" xfId="0" applyNumberFormat="1" applyFont="1" applyFill="1" applyBorder="1" applyAlignment="1">
      <alignment vertical="top"/>
    </xf>
    <xf numFmtId="0" fontId="6" fillId="2" borderId="0" xfId="0" applyFont="1" applyFill="1"/>
    <xf numFmtId="0" fontId="6" fillId="3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6" fillId="0" borderId="1" xfId="0" applyNumberFormat="1" applyFont="1" applyFill="1" applyBorder="1" applyAlignment="1">
      <alignment vertical="top"/>
    </xf>
    <xf numFmtId="44" fontId="6" fillId="0" borderId="1" xfId="0" applyNumberFormat="1" applyFont="1" applyFill="1" applyBorder="1" applyAlignment="1">
      <alignment vertical="top"/>
    </xf>
    <xf numFmtId="44" fontId="5" fillId="0" borderId="1" xfId="1" applyFont="1" applyFill="1" applyBorder="1" applyAlignment="1">
      <alignment horizontal="center" vertical="center" wrapText="1"/>
    </xf>
    <xf numFmtId="44" fontId="1" fillId="0" borderId="1" xfId="1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/>
    <xf numFmtId="0" fontId="6" fillId="2" borderId="4" xfId="0" applyFont="1" applyFill="1" applyBorder="1" applyAlignment="1">
      <alignment horizontal="center"/>
    </xf>
    <xf numFmtId="0" fontId="2" fillId="0" borderId="1" xfId="0" applyFont="1" applyFill="1" applyBorder="1"/>
    <xf numFmtId="164" fontId="6" fillId="0" borderId="1" xfId="0" applyNumberFormat="1" applyFont="1" applyFill="1" applyBorder="1" applyAlignment="1"/>
    <xf numFmtId="0" fontId="6" fillId="2" borderId="0" xfId="0" applyFont="1" applyFill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0" fontId="6" fillId="0" borderId="0" xfId="0" applyFont="1" applyFill="1" applyAlignment="1"/>
    <xf numFmtId="164" fontId="6" fillId="0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0" borderId="0" xfId="0" applyNumberFormat="1" applyFont="1" applyFill="1" applyBorder="1"/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vertical="top" wrapText="1"/>
    </xf>
    <xf numFmtId="49" fontId="6" fillId="0" borderId="0" xfId="0" applyNumberFormat="1" applyFont="1" applyFill="1" applyAlignment="1">
      <alignment vertical="top"/>
    </xf>
    <xf numFmtId="49" fontId="6" fillId="0" borderId="0" xfId="0" applyNumberFormat="1" applyFont="1" applyFill="1" applyBorder="1" applyAlignment="1">
      <alignment vertical="top"/>
    </xf>
    <xf numFmtId="4" fontId="8" fillId="0" borderId="1" xfId="0" applyNumberFormat="1" applyFont="1" applyBorder="1"/>
    <xf numFmtId="9" fontId="3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wrapText="1"/>
    </xf>
    <xf numFmtId="9" fontId="2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4" fontId="6" fillId="0" borderId="0" xfId="0" applyNumberFormat="1" applyFont="1" applyFill="1"/>
    <xf numFmtId="49" fontId="2" fillId="4" borderId="1" xfId="0" applyNumberFormat="1" applyFont="1" applyFill="1" applyBorder="1" applyAlignment="1">
      <alignment horizontal="center" vertical="top"/>
    </xf>
    <xf numFmtId="164" fontId="6" fillId="4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44" fontId="4" fillId="4" borderId="1" xfId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44" fontId="1" fillId="4" borderId="1" xfId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 vertical="center"/>
    </xf>
    <xf numFmtId="10" fontId="2" fillId="0" borderId="1" xfId="0" applyNumberFormat="1" applyFont="1" applyBorder="1"/>
    <xf numFmtId="2" fontId="6" fillId="0" borderId="1" xfId="0" applyNumberFormat="1" applyFont="1" applyFill="1" applyBorder="1" applyAlignment="1">
      <alignment vertical="top"/>
    </xf>
    <xf numFmtId="10" fontId="3" fillId="0" borderId="2" xfId="0" applyNumberFormat="1" applyFont="1" applyBorder="1"/>
    <xf numFmtId="4" fontId="1" fillId="0" borderId="0" xfId="0" applyNumberFormat="1" applyFont="1"/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4" fontId="1" fillId="5" borderId="18" xfId="0" applyNumberFormat="1" applyFont="1" applyFill="1" applyBorder="1" applyAlignment="1">
      <alignment horizontal="right" wrapText="1"/>
    </xf>
    <xf numFmtId="164" fontId="14" fillId="0" borderId="1" xfId="0" applyNumberFormat="1" applyFont="1" applyFill="1" applyBorder="1" applyAlignment="1">
      <alignment horizontal="center" vertical="top" wrapText="1"/>
    </xf>
    <xf numFmtId="8" fontId="14" fillId="0" borderId="0" xfId="0" applyNumberFormat="1" applyFont="1"/>
    <xf numFmtId="164" fontId="14" fillId="0" borderId="1" xfId="0" applyNumberFormat="1" applyFont="1" applyFill="1" applyBorder="1" applyAlignment="1">
      <alignment horizontal="center" vertical="center" wrapText="1"/>
    </xf>
    <xf numFmtId="164" fontId="14" fillId="0" borderId="1" xfId="0" applyNumberFormat="1" applyFont="1" applyFill="1" applyBorder="1" applyAlignment="1">
      <alignment vertical="top"/>
    </xf>
    <xf numFmtId="164" fontId="14" fillId="4" borderId="1" xfId="0" applyNumberFormat="1" applyFont="1" applyFill="1" applyBorder="1" applyAlignment="1">
      <alignment horizontal="center" vertical="center" wrapText="1"/>
    </xf>
    <xf numFmtId="164" fontId="14" fillId="2" borderId="2" xfId="0" applyNumberFormat="1" applyFont="1" applyFill="1" applyBorder="1" applyAlignment="1">
      <alignment horizontal="center" vertical="top" wrapText="1"/>
    </xf>
    <xf numFmtId="164" fontId="14" fillId="2" borderId="2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>
      <alignment vertical="top"/>
    </xf>
    <xf numFmtId="164" fontId="14" fillId="2" borderId="0" xfId="0" applyNumberFormat="1" applyFont="1" applyFill="1" applyBorder="1" applyAlignment="1">
      <alignment vertical="top" wrapText="1"/>
    </xf>
    <xf numFmtId="164" fontId="14" fillId="3" borderId="1" xfId="0" applyNumberFormat="1" applyFont="1" applyFill="1" applyBorder="1" applyAlignment="1">
      <alignment horizontal="center"/>
    </xf>
    <xf numFmtId="8" fontId="14" fillId="0" borderId="1" xfId="0" applyNumberFormat="1" applyFont="1" applyBorder="1" applyAlignment="1">
      <alignment horizontal="center" vertical="center"/>
    </xf>
    <xf numFmtId="8" fontId="14" fillId="0" borderId="1" xfId="0" applyNumberFormat="1" applyFont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/>
    </xf>
    <xf numFmtId="8" fontId="14" fillId="0" borderId="1" xfId="0" applyNumberFormat="1" applyFont="1" applyBorder="1"/>
    <xf numFmtId="164" fontId="14" fillId="4" borderId="1" xfId="0" applyNumberFormat="1" applyFont="1" applyFill="1" applyBorder="1" applyAlignment="1">
      <alignment horizontal="center" vertical="top" wrapText="1"/>
    </xf>
    <xf numFmtId="0" fontId="14" fillId="0" borderId="0" xfId="0" applyFont="1"/>
    <xf numFmtId="0" fontId="13" fillId="0" borderId="2" xfId="0" applyFont="1" applyBorder="1"/>
    <xf numFmtId="10" fontId="13" fillId="0" borderId="2" xfId="0" applyNumberFormat="1" applyFont="1" applyBorder="1"/>
    <xf numFmtId="10" fontId="13" fillId="0" borderId="2" xfId="0" applyNumberFormat="1" applyFont="1" applyBorder="1" applyAlignment="1">
      <alignment horizontal="center"/>
    </xf>
    <xf numFmtId="10" fontId="13" fillId="0" borderId="2" xfId="0" applyNumberFormat="1" applyFont="1" applyFill="1" applyBorder="1" applyAlignment="1">
      <alignment horizontal="center"/>
    </xf>
    <xf numFmtId="10" fontId="13" fillId="4" borderId="2" xfId="0" applyNumberFormat="1" applyFont="1" applyFill="1" applyBorder="1" applyAlignment="1">
      <alignment horizontal="center"/>
    </xf>
    <xf numFmtId="10" fontId="13" fillId="0" borderId="0" xfId="0" applyNumberFormat="1" applyFont="1" applyFill="1" applyBorder="1" applyAlignment="1">
      <alignment horizontal="center"/>
    </xf>
    <xf numFmtId="10" fontId="13" fillId="0" borderId="0" xfId="0" applyNumberFormat="1" applyFont="1" applyFill="1" applyBorder="1"/>
    <xf numFmtId="0" fontId="13" fillId="0" borderId="0" xfId="0" applyFont="1" applyFill="1" applyBorder="1"/>
    <xf numFmtId="49" fontId="14" fillId="0" borderId="1" xfId="0" applyNumberFormat="1" applyFont="1" applyFill="1" applyBorder="1" applyAlignment="1">
      <alignment vertical="top"/>
    </xf>
    <xf numFmtId="2" fontId="14" fillId="0" borderId="1" xfId="0" applyNumberFormat="1" applyFont="1" applyFill="1" applyBorder="1" applyAlignment="1">
      <alignment vertical="top"/>
    </xf>
    <xf numFmtId="164" fontId="14" fillId="0" borderId="0" xfId="0" applyNumberFormat="1" applyFont="1" applyFill="1" applyBorder="1" applyAlignment="1">
      <alignment vertical="top" wrapText="1"/>
    </xf>
    <xf numFmtId="0" fontId="14" fillId="0" borderId="0" xfId="0" applyFont="1" applyFill="1"/>
    <xf numFmtId="49" fontId="14" fillId="2" borderId="1" xfId="0" applyNumberFormat="1" applyFont="1" applyFill="1" applyBorder="1" applyAlignment="1">
      <alignment vertical="top"/>
    </xf>
    <xf numFmtId="0" fontId="13" fillId="0" borderId="2" xfId="0" applyFont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164" fontId="14" fillId="0" borderId="0" xfId="0" applyNumberFormat="1" applyFont="1" applyFill="1" applyBorder="1" applyAlignment="1">
      <alignment vertical="top"/>
    </xf>
    <xf numFmtId="49" fontId="14" fillId="3" borderId="1" xfId="0" applyNumberFormat="1" applyFont="1" applyFill="1" applyBorder="1" applyAlignment="1">
      <alignment vertical="top"/>
    </xf>
    <xf numFmtId="164" fontId="14" fillId="3" borderId="0" xfId="0" applyNumberFormat="1" applyFont="1" applyFill="1" applyBorder="1" applyAlignment="1">
      <alignment horizontal="center" vertical="center" wrapText="1"/>
    </xf>
    <xf numFmtId="164" fontId="14" fillId="3" borderId="0" xfId="0" applyNumberFormat="1" applyFont="1" applyFill="1" applyBorder="1" applyAlignment="1">
      <alignment vertical="top"/>
    </xf>
    <xf numFmtId="164" fontId="14" fillId="3" borderId="0" xfId="0" applyNumberFormat="1" applyFont="1" applyFill="1" applyBorder="1" applyAlignment="1">
      <alignment vertical="top" wrapText="1"/>
    </xf>
    <xf numFmtId="0" fontId="14" fillId="3" borderId="0" xfId="0" applyFont="1" applyFill="1"/>
    <xf numFmtId="164" fontId="14" fillId="0" borderId="0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8" fontId="14" fillId="0" borderId="0" xfId="0" applyNumberFormat="1" applyFont="1" applyFill="1"/>
    <xf numFmtId="164" fontId="14" fillId="2" borderId="2" xfId="0" applyNumberFormat="1" applyFont="1" applyFill="1" applyBorder="1" applyAlignment="1">
      <alignment horizontal="center"/>
    </xf>
    <xf numFmtId="164" fontId="14" fillId="2" borderId="1" xfId="0" applyNumberFormat="1" applyFont="1" applyFill="1" applyBorder="1" applyAlignment="1">
      <alignment vertical="top"/>
    </xf>
    <xf numFmtId="164" fontId="14" fillId="2" borderId="1" xfId="0" applyNumberFormat="1" applyFont="1" applyFill="1" applyBorder="1" applyAlignment="1">
      <alignment vertical="top" wrapText="1"/>
    </xf>
    <xf numFmtId="0" fontId="13" fillId="0" borderId="2" xfId="0" applyFont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9" fontId="13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/>
    </xf>
    <xf numFmtId="164" fontId="14" fillId="2" borderId="1" xfId="0" applyNumberFormat="1" applyFont="1" applyFill="1" applyBorder="1" applyAlignment="1">
      <alignment horizontal="center" vertical="center" wrapText="1"/>
    </xf>
    <xf numFmtId="9" fontId="13" fillId="2" borderId="1" xfId="0" applyNumberFormat="1" applyFont="1" applyFill="1" applyBorder="1"/>
    <xf numFmtId="10" fontId="13" fillId="2" borderId="1" xfId="0" applyNumberFormat="1" applyFont="1" applyFill="1" applyBorder="1"/>
    <xf numFmtId="0" fontId="13" fillId="2" borderId="1" xfId="0" applyFont="1" applyFill="1" applyBorder="1"/>
    <xf numFmtId="49" fontId="13" fillId="0" borderId="1" xfId="0" applyNumberFormat="1" applyFont="1" applyFill="1" applyBorder="1" applyAlignment="1">
      <alignment horizontal="center" vertical="top"/>
    </xf>
    <xf numFmtId="49" fontId="13" fillId="4" borderId="1" xfId="0" applyNumberFormat="1" applyFont="1" applyFill="1" applyBorder="1" applyAlignment="1">
      <alignment horizontal="center" vertical="top"/>
    </xf>
    <xf numFmtId="49" fontId="13" fillId="0" borderId="0" xfId="0" applyNumberFormat="1" applyFont="1" applyFill="1" applyBorder="1" applyAlignment="1">
      <alignment horizontal="center" vertical="top"/>
    </xf>
    <xf numFmtId="49" fontId="14" fillId="0" borderId="3" xfId="0" applyNumberFormat="1" applyFont="1" applyFill="1" applyBorder="1" applyAlignment="1">
      <alignment vertical="top"/>
    </xf>
    <xf numFmtId="164" fontId="14" fillId="4" borderId="1" xfId="0" applyNumberFormat="1" applyFont="1" applyFill="1" applyBorder="1" applyAlignment="1">
      <alignment vertical="top"/>
    </xf>
    <xf numFmtId="49" fontId="13" fillId="0" borderId="5" xfId="0" applyNumberFormat="1" applyFont="1" applyFill="1" applyBorder="1" applyAlignment="1">
      <alignment horizontal="center" vertical="center"/>
    </xf>
    <xf numFmtId="49" fontId="13" fillId="0" borderId="6" xfId="0" applyNumberFormat="1" applyFont="1" applyFill="1" applyBorder="1" applyAlignment="1">
      <alignment horizontal="center" vertical="center"/>
    </xf>
    <xf numFmtId="0" fontId="14" fillId="0" borderId="7" xfId="0" applyFont="1" applyFill="1" applyBorder="1"/>
    <xf numFmtId="0" fontId="14" fillId="0" borderId="2" xfId="0" applyNumberFormat="1" applyFont="1" applyFill="1" applyBorder="1" applyAlignment="1">
      <alignment vertical="center"/>
    </xf>
    <xf numFmtId="164" fontId="13" fillId="0" borderId="0" xfId="0" applyNumberFormat="1" applyFont="1" applyFill="1" applyBorder="1" applyAlignment="1">
      <alignment vertical="top" wrapText="1"/>
    </xf>
    <xf numFmtId="0" fontId="14" fillId="0" borderId="1" xfId="0" applyNumberFormat="1" applyFont="1" applyFill="1" applyBorder="1" applyAlignment="1">
      <alignment vertical="center"/>
    </xf>
    <xf numFmtId="49" fontId="14" fillId="0" borderId="0" xfId="0" applyNumberFormat="1" applyFont="1" applyFill="1" applyAlignment="1">
      <alignment horizontal="center" vertical="center"/>
    </xf>
    <xf numFmtId="49" fontId="14" fillId="0" borderId="0" xfId="0" applyNumberFormat="1" applyFont="1" applyFill="1" applyAlignment="1">
      <alignment vertical="top"/>
    </xf>
    <xf numFmtId="164" fontId="14" fillId="0" borderId="0" xfId="0" applyNumberFormat="1" applyFont="1" applyFill="1"/>
    <xf numFmtId="8" fontId="14" fillId="2" borderId="1" xfId="0" applyNumberFormat="1" applyFont="1" applyFill="1" applyBorder="1" applyAlignment="1">
      <alignment horizontal="center" vertical="center"/>
    </xf>
    <xf numFmtId="8" fontId="14" fillId="2" borderId="1" xfId="0" applyNumberFormat="1" applyFont="1" applyFill="1" applyBorder="1" applyAlignment="1">
      <alignment horizontal="center" vertical="center" wrapText="1"/>
    </xf>
    <xf numFmtId="8" fontId="0" fillId="0" borderId="1" xfId="0" applyNumberFormat="1" applyBorder="1"/>
    <xf numFmtId="164" fontId="14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vertical="center" wrapText="1"/>
    </xf>
    <xf numFmtId="44" fontId="14" fillId="0" borderId="0" xfId="1" applyFont="1" applyAlignment="1">
      <alignment horizontal="center" vertical="center"/>
    </xf>
    <xf numFmtId="44" fontId="14" fillId="0" borderId="1" xfId="1" applyFont="1" applyFill="1" applyBorder="1" applyAlignment="1">
      <alignment horizontal="center" vertical="top" wrapText="1"/>
    </xf>
    <xf numFmtId="9" fontId="13" fillId="4" borderId="1" xfId="0" applyNumberFormat="1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vertical="top"/>
    </xf>
    <xf numFmtId="164" fontId="6" fillId="6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vertical="top"/>
    </xf>
    <xf numFmtId="8" fontId="14" fillId="0" borderId="1" xfId="0" applyNumberFormat="1" applyFont="1" applyFill="1" applyBorder="1" applyAlignment="1">
      <alignment horizontal="center" vertical="center"/>
    </xf>
    <xf numFmtId="8" fontId="14" fillId="0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Fill="1" applyBorder="1"/>
    <xf numFmtId="49" fontId="18" fillId="0" borderId="1" xfId="0" applyNumberFormat="1" applyFont="1" applyFill="1" applyBorder="1" applyAlignment="1">
      <alignment vertical="center" wrapText="1"/>
    </xf>
    <xf numFmtId="44" fontId="18" fillId="0" borderId="1" xfId="1" applyFont="1" applyFill="1" applyBorder="1" applyAlignment="1">
      <alignment horizontal="center" vertical="center" wrapText="1"/>
    </xf>
    <xf numFmtId="44" fontId="19" fillId="0" borderId="1" xfId="1" applyFont="1" applyFill="1" applyBorder="1" applyAlignment="1">
      <alignment horizontal="center" vertical="center"/>
    </xf>
    <xf numFmtId="44" fontId="20" fillId="0" borderId="1" xfId="1" applyFont="1" applyFill="1" applyBorder="1" applyAlignment="1">
      <alignment horizontal="center" vertical="center" wrapText="1"/>
    </xf>
    <xf numFmtId="44" fontId="19" fillId="4" borderId="1" xfId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center" wrapText="1"/>
    </xf>
    <xf numFmtId="44" fontId="18" fillId="4" borderId="1" xfId="1" applyFont="1" applyFill="1" applyBorder="1" applyAlignment="1">
      <alignment horizontal="center" vertical="center" wrapText="1"/>
    </xf>
    <xf numFmtId="8" fontId="1" fillId="0" borderId="1" xfId="0" applyNumberFormat="1" applyFont="1" applyFill="1" applyBorder="1"/>
    <xf numFmtId="8" fontId="8" fillId="0" borderId="1" xfId="0" applyNumberFormat="1" applyFont="1" applyFill="1" applyBorder="1"/>
    <xf numFmtId="164" fontId="4" fillId="0" borderId="0" xfId="0" applyNumberFormat="1" applyFont="1" applyAlignment="1">
      <alignment vertical="center" wrapText="1"/>
    </xf>
    <xf numFmtId="0" fontId="14" fillId="0" borderId="1" xfId="0" applyFont="1" applyFill="1" applyBorder="1"/>
    <xf numFmtId="164" fontId="13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top" wrapText="1"/>
    </xf>
    <xf numFmtId="4" fontId="1" fillId="0" borderId="1" xfId="0" applyNumberFormat="1" applyFont="1" applyFill="1" applyBorder="1"/>
    <xf numFmtId="44" fontId="1" fillId="0" borderId="1" xfId="1" applyFont="1" applyFill="1" applyBorder="1"/>
    <xf numFmtId="44" fontId="6" fillId="0" borderId="1" xfId="1" applyFont="1" applyFill="1" applyBorder="1" applyAlignment="1">
      <alignment vertical="top"/>
    </xf>
    <xf numFmtId="0" fontId="13" fillId="0" borderId="2" xfId="0" applyFont="1" applyBorder="1" applyAlignment="1">
      <alignment horizontal="center" wrapText="1"/>
    </xf>
    <xf numFmtId="44" fontId="19" fillId="0" borderId="1" xfId="1" applyFont="1" applyFill="1" applyBorder="1" applyAlignment="1">
      <alignment horizontal="left" vertical="center"/>
    </xf>
    <xf numFmtId="44" fontId="21" fillId="0" borderId="1" xfId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vertical="center"/>
    </xf>
    <xf numFmtId="2" fontId="4" fillId="0" borderId="1" xfId="0" applyNumberFormat="1" applyFont="1" applyFill="1" applyBorder="1" applyAlignment="1">
      <alignment vertical="top" wrapText="1"/>
    </xf>
    <xf numFmtId="8" fontId="1" fillId="0" borderId="0" xfId="0" applyNumberFormat="1" applyFont="1" applyFill="1"/>
    <xf numFmtId="164" fontId="4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vertical="top"/>
    </xf>
    <xf numFmtId="4" fontId="6" fillId="0" borderId="1" xfId="0" applyNumberFormat="1" applyFont="1" applyFill="1" applyBorder="1" applyAlignment="1">
      <alignment vertical="center"/>
    </xf>
    <xf numFmtId="44" fontId="6" fillId="0" borderId="0" xfId="1" applyFont="1" applyFill="1"/>
    <xf numFmtId="49" fontId="13" fillId="0" borderId="6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4" fillId="2" borderId="11" xfId="0" applyNumberFormat="1" applyFont="1" applyFill="1" applyBorder="1" applyAlignment="1">
      <alignment horizontal="center" vertical="top"/>
    </xf>
    <xf numFmtId="49" fontId="14" fillId="2" borderId="12" xfId="0" applyNumberFormat="1" applyFont="1" applyFill="1" applyBorder="1" applyAlignment="1">
      <alignment horizontal="center" vertical="top"/>
    </xf>
    <xf numFmtId="49" fontId="14" fillId="2" borderId="9" xfId="0" applyNumberFormat="1" applyFont="1" applyFill="1" applyBorder="1" applyAlignment="1">
      <alignment horizontal="center" vertical="top"/>
    </xf>
    <xf numFmtId="49" fontId="14" fillId="2" borderId="13" xfId="0" applyNumberFormat="1" applyFont="1" applyFill="1" applyBorder="1" applyAlignment="1">
      <alignment horizontal="center" vertical="top"/>
    </xf>
    <xf numFmtId="49" fontId="13" fillId="0" borderId="11" xfId="0" applyNumberFormat="1" applyFont="1" applyFill="1" applyBorder="1" applyAlignment="1">
      <alignment horizontal="center" vertical="top"/>
    </xf>
    <xf numFmtId="49" fontId="13" fillId="0" borderId="12" xfId="0" applyNumberFormat="1" applyFont="1" applyFill="1" applyBorder="1" applyAlignment="1">
      <alignment horizontal="center" vertical="top"/>
    </xf>
    <xf numFmtId="49" fontId="13" fillId="0" borderId="14" xfId="0" applyNumberFormat="1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A1FE-A026-4CD2-B4C2-AB9395D71D61}">
  <sheetPr>
    <pageSetUpPr fitToPage="1"/>
  </sheetPr>
  <dimension ref="A1:L18"/>
  <sheetViews>
    <sheetView zoomScale="80" zoomScaleNormal="80" workbookViewId="0">
      <pane xSplit="1" topLeftCell="B1" activePane="topRight" state="frozen"/>
      <selection pane="topRight" activeCell="A7" sqref="A7:IV7"/>
    </sheetView>
  </sheetViews>
  <sheetFormatPr defaultRowHeight="15" customHeight="1"/>
  <cols>
    <col min="1" max="1" width="39.5703125" style="2" customWidth="1"/>
    <col min="2" max="2" width="26.5703125" style="2" customWidth="1"/>
    <col min="3" max="3" width="24.85546875" style="2" bestFit="1" customWidth="1"/>
    <col min="4" max="4" width="12.85546875" style="2" bestFit="1" customWidth="1"/>
    <col min="5" max="5" width="21" style="2" customWidth="1"/>
    <col min="6" max="6" width="15.5703125" style="2" bestFit="1" customWidth="1"/>
    <col min="7" max="7" width="15.140625" style="2" bestFit="1" customWidth="1"/>
    <col min="8" max="8" width="12.85546875" style="2" bestFit="1" customWidth="1"/>
    <col min="9" max="9" width="15.5703125" style="2" bestFit="1" customWidth="1"/>
    <col min="10" max="10" width="16.85546875" style="2" bestFit="1" customWidth="1"/>
    <col min="11" max="11" width="17.28515625" style="2" bestFit="1" customWidth="1"/>
    <col min="12" max="16384" width="9.140625" style="2"/>
  </cols>
  <sheetData>
    <row r="1" spans="1:12" ht="20.25" customHeight="1">
      <c r="A1" s="286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2" spans="1:12" s="29" customFormat="1" ht="25.5">
      <c r="A2" s="23" t="s">
        <v>1</v>
      </c>
      <c r="B2" s="23" t="s">
        <v>2</v>
      </c>
      <c r="C2" s="27" t="s">
        <v>3</v>
      </c>
      <c r="D2" s="23" t="s">
        <v>4</v>
      </c>
      <c r="E2" s="27" t="s">
        <v>5</v>
      </c>
      <c r="F2" s="27" t="s">
        <v>6</v>
      </c>
      <c r="G2" s="27" t="s">
        <v>7</v>
      </c>
      <c r="H2" s="124">
        <v>0.02</v>
      </c>
      <c r="I2" s="125">
        <v>2.5000000000000001E-3</v>
      </c>
      <c r="J2" s="30" t="s">
        <v>8</v>
      </c>
      <c r="K2" s="128" t="s">
        <v>9</v>
      </c>
    </row>
    <row r="3" spans="1:12" s="14" customFormat="1" ht="30">
      <c r="A3" s="20" t="s">
        <v>10</v>
      </c>
      <c r="B3" s="20" t="s">
        <v>11</v>
      </c>
      <c r="C3" s="74">
        <v>104785.07</v>
      </c>
      <c r="D3" s="241">
        <v>3668.45</v>
      </c>
      <c r="E3" s="241">
        <v>14004.26</v>
      </c>
      <c r="F3" s="163">
        <v>4783.3599999999997</v>
      </c>
      <c r="G3" s="72"/>
      <c r="H3" s="155">
        <f>E3*2%</f>
        <v>280.08519999999999</v>
      </c>
      <c r="I3" s="155">
        <f>(C3-D3-E3-F3-G3)*I2</f>
        <v>205.82250000000005</v>
      </c>
      <c r="J3" s="21"/>
      <c r="K3" s="154">
        <f>H3+I3+J3</f>
        <v>485.90770000000003</v>
      </c>
    </row>
    <row r="4" spans="1:12" s="14" customFormat="1" ht="30">
      <c r="A4" s="20" t="s">
        <v>12</v>
      </c>
      <c r="B4" s="20" t="s">
        <v>11</v>
      </c>
      <c r="C4" s="262">
        <v>84339.08</v>
      </c>
      <c r="D4" s="262">
        <v>3739.41</v>
      </c>
      <c r="E4" s="262">
        <v>9650.92</v>
      </c>
      <c r="F4" s="268">
        <v>4499.21</v>
      </c>
      <c r="G4" s="269">
        <v>0</v>
      </c>
      <c r="H4" s="155">
        <f>E4*2%</f>
        <v>193.01840000000001</v>
      </c>
      <c r="I4" s="155">
        <f>(C4-D4-E4-F4-G4)*I2</f>
        <v>166.12384999999998</v>
      </c>
      <c r="J4" s="21">
        <v>0</v>
      </c>
      <c r="K4" s="154">
        <f>H4+I4+J4</f>
        <v>359.14224999999999</v>
      </c>
    </row>
    <row r="5" spans="1:12" s="14" customFormat="1">
      <c r="A5" s="16"/>
      <c r="B5" s="16"/>
      <c r="C5" s="5"/>
      <c r="D5" s="5"/>
      <c r="E5" s="3"/>
      <c r="F5" s="3"/>
      <c r="G5" s="3"/>
      <c r="H5" s="4"/>
      <c r="I5" s="4"/>
      <c r="J5" s="5"/>
      <c r="K5" s="5"/>
    </row>
    <row r="6" spans="1:12" s="14" customFormat="1" ht="31.5">
      <c r="A6" s="23" t="s">
        <v>1</v>
      </c>
      <c r="B6" s="23" t="s">
        <v>2</v>
      </c>
      <c r="C6" s="47" t="s">
        <v>13</v>
      </c>
      <c r="D6" s="124">
        <v>0.01</v>
      </c>
      <c r="E6" s="156" t="s">
        <v>14</v>
      </c>
      <c r="F6" s="3"/>
      <c r="G6" s="67"/>
      <c r="H6" s="68"/>
      <c r="I6" s="4"/>
      <c r="J6" s="5"/>
      <c r="K6" s="5"/>
    </row>
    <row r="7" spans="1:12" s="46" customFormat="1">
      <c r="A7" s="64" t="s">
        <v>15</v>
      </c>
      <c r="B7" s="59" t="s">
        <v>11</v>
      </c>
      <c r="C7" s="73">
        <v>27994.01</v>
      </c>
      <c r="D7" s="154">
        <f>C7*D6</f>
        <v>279.94009999999997</v>
      </c>
      <c r="E7" s="157">
        <f>D7</f>
        <v>279.94009999999997</v>
      </c>
      <c r="F7" s="3"/>
      <c r="G7" s="3"/>
      <c r="H7" s="5"/>
      <c r="I7" s="4"/>
      <c r="J7" s="5"/>
      <c r="K7" s="5"/>
    </row>
    <row r="8" spans="1:12" ht="15" customHeight="1">
      <c r="A8" s="16"/>
      <c r="B8" s="16"/>
      <c r="C8" s="5"/>
      <c r="D8" s="5"/>
      <c r="E8" s="3"/>
      <c r="F8" s="3"/>
      <c r="G8" s="4"/>
      <c r="H8" s="17"/>
      <c r="I8" s="17"/>
      <c r="J8" s="17"/>
      <c r="K8" s="17"/>
    </row>
    <row r="9" spans="1:12" ht="15" customHeight="1">
      <c r="A9" s="1" t="s">
        <v>1</v>
      </c>
      <c r="B9" s="1" t="s">
        <v>2</v>
      </c>
      <c r="C9" s="162">
        <v>5.0000000000000001E-4</v>
      </c>
      <c r="D9" s="15">
        <v>8.0000000000000004E-4</v>
      </c>
      <c r="E9" s="15">
        <v>8.9999999999999998E-4</v>
      </c>
      <c r="F9" s="15">
        <v>1E-3</v>
      </c>
      <c r="G9" s="15">
        <v>1.1000000000000001E-3</v>
      </c>
      <c r="H9" s="15">
        <v>1.1999999999999999E-3</v>
      </c>
      <c r="I9" s="158" t="s">
        <v>16</v>
      </c>
      <c r="J9" s="12"/>
      <c r="K9" s="12"/>
      <c r="L9" s="12"/>
    </row>
    <row r="10" spans="1:12" s="14" customFormat="1" ht="15" customHeight="1">
      <c r="A10" s="13" t="s">
        <v>17</v>
      </c>
      <c r="B10" s="20" t="s">
        <v>18</v>
      </c>
      <c r="C10" s="275">
        <v>0</v>
      </c>
      <c r="D10" s="21"/>
      <c r="E10" s="276">
        <f>182955.47</f>
        <v>182955.47</v>
      </c>
      <c r="F10" s="277"/>
      <c r="G10" s="277"/>
      <c r="H10" s="278"/>
      <c r="I10" s="21">
        <f>E10*E9</f>
        <v>164.65992299999999</v>
      </c>
      <c r="J10" s="6"/>
      <c r="K10" s="6"/>
      <c r="L10" s="6"/>
    </row>
    <row r="11" spans="1:12" ht="15" customHeight="1">
      <c r="A11" s="16"/>
      <c r="B11" s="16"/>
      <c r="C11" s="5"/>
      <c r="D11" s="5"/>
      <c r="E11" s="3"/>
      <c r="F11" s="3"/>
      <c r="G11" s="10"/>
      <c r="H11" s="11"/>
      <c r="I11" s="11"/>
      <c r="J11" s="11"/>
      <c r="K11" s="11"/>
    </row>
    <row r="12" spans="1:12" ht="15" customHeight="1">
      <c r="A12" s="9" t="s">
        <v>1</v>
      </c>
      <c r="B12" s="9" t="s">
        <v>2</v>
      </c>
      <c r="C12" s="7" t="s">
        <v>19</v>
      </c>
      <c r="D12" s="7" t="s">
        <v>20</v>
      </c>
      <c r="E12" s="7" t="s">
        <v>21</v>
      </c>
      <c r="F12" s="153" t="s">
        <v>16</v>
      </c>
      <c r="G12" s="3"/>
      <c r="H12" s="10"/>
      <c r="I12" s="11"/>
      <c r="J12" s="11"/>
      <c r="K12" s="11"/>
      <c r="L12" s="11"/>
    </row>
    <row r="13" spans="1:12" s="46" customFormat="1" ht="15" customHeight="1">
      <c r="A13" s="64" t="s">
        <v>22</v>
      </c>
      <c r="B13" s="60" t="s">
        <v>23</v>
      </c>
      <c r="C13" s="75">
        <v>50</v>
      </c>
      <c r="D13" s="75">
        <v>0</v>
      </c>
      <c r="E13" s="75">
        <v>50</v>
      </c>
      <c r="F13" s="159">
        <f>C13+E13+D13</f>
        <v>100</v>
      </c>
      <c r="G13" s="65"/>
      <c r="H13" s="61"/>
      <c r="I13" s="62"/>
      <c r="J13" s="63"/>
      <c r="K13" s="63"/>
    </row>
    <row r="14" spans="1:12" ht="15" customHeight="1">
      <c r="A14" s="64" t="s">
        <v>24</v>
      </c>
      <c r="B14" s="60" t="s">
        <v>23</v>
      </c>
      <c r="C14" s="75">
        <v>25</v>
      </c>
      <c r="D14" s="75">
        <v>44</v>
      </c>
      <c r="E14" s="75">
        <v>25</v>
      </c>
      <c r="F14" s="159">
        <f>C14+E14+D14</f>
        <v>94</v>
      </c>
      <c r="G14" s="14"/>
      <c r="H14" s="14"/>
    </row>
    <row r="15" spans="1:12" ht="15" customHeight="1">
      <c r="C15" s="14"/>
      <c r="D15" s="14"/>
      <c r="E15" s="43"/>
      <c r="F15" s="14"/>
      <c r="G15" s="14"/>
    </row>
    <row r="16" spans="1:12" ht="15" customHeight="1">
      <c r="C16" s="58"/>
      <c r="D16" s="58"/>
      <c r="J16" s="57"/>
    </row>
    <row r="18" spans="6:11" ht="15" customHeight="1">
      <c r="F18" s="57"/>
      <c r="K18" s="57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scale="97" fitToHeight="0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1D65-5F30-4DB1-826C-64DAD8375BF6}">
  <sheetPr>
    <pageSetUpPr fitToPage="1"/>
  </sheetPr>
  <dimension ref="A1:N44"/>
  <sheetViews>
    <sheetView zoomScale="70" zoomScaleNormal="70" workbookViewId="0">
      <pane xSplit="1" topLeftCell="B1" activePane="topRight" state="frozen"/>
      <selection pane="topRight" activeCell="A16" sqref="A16:IV16"/>
    </sheetView>
  </sheetViews>
  <sheetFormatPr defaultColWidth="22" defaultRowHeight="15" customHeight="1"/>
  <cols>
    <col min="1" max="1" width="59.7109375" style="186" bestFit="1" customWidth="1"/>
    <col min="2" max="2" width="29.7109375" style="186" bestFit="1" customWidth="1"/>
    <col min="3" max="3" width="24.5703125" style="186" customWidth="1"/>
    <col min="4" max="4" width="13.28515625" style="186" bestFit="1" customWidth="1"/>
    <col min="5" max="5" width="19.5703125" style="186" customWidth="1"/>
    <col min="6" max="6" width="16" style="186" bestFit="1" customWidth="1"/>
    <col min="7" max="7" width="17.42578125" style="186" bestFit="1" customWidth="1"/>
    <col min="8" max="8" width="20.28515625" style="186" bestFit="1" customWidth="1"/>
    <col min="9" max="9" width="11.42578125" style="186" bestFit="1" customWidth="1"/>
    <col min="10" max="10" width="14.5703125" style="186" bestFit="1" customWidth="1"/>
    <col min="11" max="11" width="21.5703125" style="186" bestFit="1" customWidth="1"/>
    <col min="12" max="12" width="21.7109375" style="186" bestFit="1" customWidth="1"/>
    <col min="13" max="13" width="20.28515625" style="186" bestFit="1" customWidth="1"/>
    <col min="14" max="16384" width="22" style="186"/>
  </cols>
  <sheetData>
    <row r="1" spans="1:14" ht="15" customHeight="1" thickBot="1">
      <c r="A1" s="288" t="s">
        <v>25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90"/>
    </row>
    <row r="2" spans="1:14" ht="15" customHeight="1">
      <c r="A2" s="187" t="s">
        <v>1</v>
      </c>
      <c r="B2" s="187" t="s">
        <v>2</v>
      </c>
      <c r="C2" s="188">
        <v>5.0000000000000001E-4</v>
      </c>
      <c r="D2" s="189">
        <v>8.0000000000000004E-4</v>
      </c>
      <c r="E2" s="189">
        <v>8.9999999999999998E-4</v>
      </c>
      <c r="F2" s="189">
        <v>1E-3</v>
      </c>
      <c r="G2" s="189">
        <v>1.1000000000000001E-3</v>
      </c>
      <c r="H2" s="189">
        <v>1.1999999999999999E-3</v>
      </c>
      <c r="I2" s="190"/>
      <c r="J2" s="191" t="s">
        <v>16</v>
      </c>
      <c r="K2" s="192"/>
      <c r="L2" s="193"/>
      <c r="M2" s="194"/>
    </row>
    <row r="3" spans="1:14" s="198" customFormat="1" ht="15" customHeight="1">
      <c r="A3" s="195" t="s">
        <v>26</v>
      </c>
      <c r="B3" s="195" t="s">
        <v>18</v>
      </c>
      <c r="C3" s="196"/>
      <c r="D3" s="170"/>
      <c r="E3" s="171"/>
      <c r="F3" s="172"/>
      <c r="G3" s="172"/>
      <c r="H3" s="172"/>
      <c r="I3" s="173">
        <v>360</v>
      </c>
      <c r="J3" s="174">
        <f>I3</f>
        <v>360</v>
      </c>
      <c r="K3" s="197"/>
      <c r="L3" s="197"/>
      <c r="M3" s="197"/>
    </row>
    <row r="4" spans="1:14" ht="15" customHeight="1">
      <c r="A4" s="199"/>
      <c r="B4" s="199"/>
      <c r="C4" s="175"/>
      <c r="D4" s="175"/>
      <c r="E4" s="176"/>
      <c r="F4" s="177"/>
      <c r="G4" s="177"/>
      <c r="H4" s="177"/>
      <c r="I4" s="178"/>
      <c r="J4" s="179"/>
      <c r="K4" s="179"/>
      <c r="L4" s="179"/>
      <c r="M4" s="179"/>
    </row>
    <row r="5" spans="1:14" s="198" customFormat="1" ht="31.5">
      <c r="A5" s="187" t="s">
        <v>1</v>
      </c>
      <c r="B5" s="187" t="s">
        <v>2</v>
      </c>
      <c r="C5" s="271" t="s">
        <v>27</v>
      </c>
      <c r="D5" s="200" t="s">
        <v>21</v>
      </c>
      <c r="E5" s="201" t="s">
        <v>16</v>
      </c>
      <c r="F5" s="202"/>
      <c r="G5" s="202"/>
      <c r="H5" s="202"/>
      <c r="I5" s="203"/>
      <c r="J5" s="197"/>
      <c r="K5" s="197"/>
      <c r="L5" s="197"/>
      <c r="M5" s="197"/>
    </row>
    <row r="6" spans="1:14" s="208" customFormat="1" ht="15.75" customHeight="1">
      <c r="A6" s="204" t="s">
        <v>28</v>
      </c>
      <c r="B6" s="204" t="s">
        <v>23</v>
      </c>
      <c r="C6" s="244">
        <v>0</v>
      </c>
      <c r="D6" s="180">
        <v>0</v>
      </c>
      <c r="E6" s="174">
        <f>C6+D6</f>
        <v>0</v>
      </c>
      <c r="F6" s="205"/>
      <c r="G6" s="205"/>
      <c r="H6" s="205"/>
      <c r="I6" s="206"/>
      <c r="J6" s="207"/>
      <c r="K6" s="207"/>
      <c r="L6" s="207"/>
      <c r="M6" s="207"/>
    </row>
    <row r="7" spans="1:14" s="198" customFormat="1" ht="15" customHeight="1">
      <c r="A7" s="195" t="s">
        <v>29</v>
      </c>
      <c r="B7" s="195" t="s">
        <v>23</v>
      </c>
      <c r="C7" s="245">
        <v>0</v>
      </c>
      <c r="D7" s="170">
        <v>50</v>
      </c>
      <c r="E7" s="174">
        <f>C7+D7</f>
        <v>50</v>
      </c>
      <c r="F7" s="209"/>
      <c r="G7" s="209"/>
      <c r="H7" s="209"/>
      <c r="I7" s="203"/>
      <c r="J7" s="197"/>
      <c r="K7" s="197"/>
      <c r="L7" s="197"/>
      <c r="M7" s="197"/>
    </row>
    <row r="8" spans="1:14" ht="15" customHeight="1">
      <c r="A8" s="291"/>
      <c r="B8" s="292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4"/>
    </row>
    <row r="9" spans="1:14" ht="53.25" customHeight="1">
      <c r="A9" s="187" t="s">
        <v>1</v>
      </c>
      <c r="B9" s="187" t="s">
        <v>2</v>
      </c>
      <c r="C9" s="210" t="s">
        <v>3</v>
      </c>
      <c r="D9" s="210" t="s">
        <v>30</v>
      </c>
      <c r="E9" s="210" t="s">
        <v>31</v>
      </c>
      <c r="F9" s="210" t="s">
        <v>32</v>
      </c>
      <c r="G9" s="210" t="s">
        <v>33</v>
      </c>
      <c r="H9" s="246">
        <v>0.02</v>
      </c>
      <c r="I9" s="247">
        <v>2.5000000000000001E-3</v>
      </c>
      <c r="J9" s="211" t="s">
        <v>34</v>
      </c>
      <c r="K9" s="248" t="s">
        <v>9</v>
      </c>
    </row>
    <row r="10" spans="1:14" s="198" customFormat="1" ht="15" customHeight="1">
      <c r="A10" s="195" t="s">
        <v>35</v>
      </c>
      <c r="B10" s="195" t="s">
        <v>11</v>
      </c>
      <c r="C10" s="181">
        <v>132680</v>
      </c>
      <c r="D10" s="181">
        <v>6939</v>
      </c>
      <c r="E10" s="181">
        <v>12632</v>
      </c>
      <c r="F10" s="182">
        <v>4498</v>
      </c>
      <c r="G10" s="182"/>
      <c r="H10" s="183">
        <f>E10*2%</f>
        <v>252.64000000000001</v>
      </c>
      <c r="I10" s="174">
        <f>(C10-D10-E10-F10-G10)*I9</f>
        <v>271.52750000000003</v>
      </c>
      <c r="J10" s="172"/>
      <c r="K10" s="174">
        <f>SUM(H10:J10)</f>
        <v>524.16750000000002</v>
      </c>
      <c r="L10" s="212"/>
    </row>
    <row r="11" spans="1:14" s="198" customFormat="1" ht="15" customHeight="1">
      <c r="A11" s="195" t="s">
        <v>36</v>
      </c>
      <c r="B11" s="195" t="s">
        <v>11</v>
      </c>
      <c r="C11" s="252">
        <v>135530</v>
      </c>
      <c r="D11" s="252">
        <v>7236</v>
      </c>
      <c r="E11" s="253">
        <v>14575</v>
      </c>
      <c r="F11" s="253">
        <v>4507</v>
      </c>
      <c r="G11" s="253">
        <v>214.4</v>
      </c>
      <c r="H11" s="183">
        <f>E11*2%</f>
        <v>291.5</v>
      </c>
      <c r="I11" s="174">
        <f>(C11-D11-E11-F11-G11)*I9</f>
        <v>272.49400000000003</v>
      </c>
      <c r="J11" s="172">
        <f>5*2</f>
        <v>10</v>
      </c>
      <c r="K11" s="174">
        <f>SUM(H11:J11)</f>
        <v>573.99400000000003</v>
      </c>
      <c r="L11" s="212"/>
    </row>
    <row r="12" spans="1:14" s="198" customFormat="1" ht="15" customHeight="1">
      <c r="A12" s="195" t="s">
        <v>37</v>
      </c>
      <c r="B12" s="195" t="s">
        <v>11</v>
      </c>
      <c r="C12" s="181">
        <v>130598</v>
      </c>
      <c r="D12" s="181">
        <v>6887</v>
      </c>
      <c r="E12" s="253">
        <v>19667</v>
      </c>
      <c r="F12" s="182">
        <v>3569</v>
      </c>
      <c r="G12" s="182">
        <v>207.38</v>
      </c>
      <c r="H12" s="183">
        <f>E12*2%</f>
        <v>393.34000000000003</v>
      </c>
      <c r="I12" s="174">
        <f>(C12-D12-E12-F12-G12)*I9</f>
        <v>250.66905</v>
      </c>
      <c r="J12" s="172">
        <f>3*2</f>
        <v>6</v>
      </c>
      <c r="K12" s="174">
        <f>SUM(H12:J12)</f>
        <v>650.00905</v>
      </c>
      <c r="L12" s="212"/>
    </row>
    <row r="13" spans="1:14" s="198" customFormat="1" ht="15" customHeight="1">
      <c r="A13" s="195" t="s">
        <v>38</v>
      </c>
      <c r="B13" s="195" t="s">
        <v>11</v>
      </c>
      <c r="C13" s="239"/>
      <c r="D13" s="239"/>
      <c r="E13" s="240"/>
      <c r="F13" s="240"/>
      <c r="G13" s="221"/>
      <c r="H13" s="221"/>
      <c r="I13" s="242">
        <f>E13*2%</f>
        <v>0</v>
      </c>
      <c r="J13" s="221">
        <f>(C13-D13-E13-F13-G13-H13)*0.25%</f>
        <v>0</v>
      </c>
      <c r="K13" s="221"/>
      <c r="L13" s="221"/>
      <c r="M13" s="221">
        <f>+K13+I13+J13+L13</f>
        <v>0</v>
      </c>
      <c r="N13" s="212"/>
    </row>
    <row r="14" spans="1:14" s="198" customFormat="1" ht="15" customHeight="1">
      <c r="A14" s="199"/>
      <c r="B14" s="199"/>
      <c r="C14" s="213"/>
      <c r="D14" s="213"/>
      <c r="E14" s="213"/>
      <c r="F14" s="213"/>
      <c r="G14" s="213"/>
      <c r="H14" s="176"/>
      <c r="I14" s="214"/>
      <c r="J14" s="215"/>
      <c r="K14" s="215"/>
      <c r="L14" s="215"/>
      <c r="M14" s="215"/>
    </row>
    <row r="15" spans="1:14" s="198" customFormat="1" ht="29.25" customHeight="1">
      <c r="A15" s="216" t="s">
        <v>1</v>
      </c>
      <c r="B15" s="216" t="s">
        <v>2</v>
      </c>
      <c r="C15" s="217" t="s">
        <v>39</v>
      </c>
      <c r="D15" s="218">
        <v>0.01</v>
      </c>
      <c r="E15" s="219" t="s">
        <v>14</v>
      </c>
      <c r="F15" s="220"/>
      <c r="G15" s="220"/>
      <c r="H15" s="221"/>
      <c r="I15" s="222"/>
      <c r="J15" s="223"/>
      <c r="K15" s="215"/>
      <c r="L15" s="215"/>
      <c r="M15" s="224"/>
    </row>
    <row r="16" spans="1:14" s="208" customFormat="1" ht="15" customHeight="1">
      <c r="A16" s="204" t="s">
        <v>40</v>
      </c>
      <c r="B16" s="204" t="s">
        <v>11</v>
      </c>
      <c r="C16" s="184">
        <v>25140</v>
      </c>
      <c r="D16" s="185">
        <f>C16*D15</f>
        <v>251.4</v>
      </c>
      <c r="E16" s="174">
        <f>D16</f>
        <v>251.4</v>
      </c>
      <c r="F16" s="221"/>
      <c r="G16" s="221"/>
      <c r="H16" s="221"/>
      <c r="I16" s="214"/>
      <c r="J16" s="215"/>
      <c r="K16" s="215"/>
      <c r="L16" s="215"/>
      <c r="M16" s="215"/>
    </row>
    <row r="18" spans="1:13" s="198" customFormat="1" ht="15" customHeight="1">
      <c r="A18" s="291"/>
      <c r="B18" s="292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4"/>
    </row>
    <row r="19" spans="1:13" s="198" customFormat="1" ht="15" customHeight="1">
      <c r="A19" s="295" t="s">
        <v>41</v>
      </c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7"/>
    </row>
    <row r="20" spans="1:13" s="198" customFormat="1" ht="15" customHeight="1">
      <c r="A20" s="187" t="s">
        <v>1</v>
      </c>
      <c r="B20" s="187" t="s">
        <v>2</v>
      </c>
      <c r="C20" s="225" t="s">
        <v>42</v>
      </c>
      <c r="D20" s="225" t="s">
        <v>43</v>
      </c>
      <c r="E20" s="226" t="s">
        <v>16</v>
      </c>
      <c r="F20" s="227"/>
      <c r="G20" s="227"/>
      <c r="H20" s="227"/>
      <c r="I20" s="227"/>
      <c r="J20" s="227"/>
      <c r="K20" s="227"/>
      <c r="L20" s="227"/>
      <c r="M20" s="227"/>
    </row>
    <row r="21" spans="1:13" s="198" customFormat="1" ht="15" customHeight="1" thickBot="1">
      <c r="A21" s="228" t="s">
        <v>44</v>
      </c>
      <c r="B21" s="228" t="s">
        <v>41</v>
      </c>
      <c r="C21" s="172">
        <f>C23+C24+C26</f>
        <v>287</v>
      </c>
      <c r="D21" s="172">
        <f>(C25+C27+C28)/2</f>
        <v>97</v>
      </c>
      <c r="E21" s="229">
        <f>C21+D21</f>
        <v>384</v>
      </c>
    </row>
    <row r="22" spans="1:13" s="198" customFormat="1" ht="15" customHeight="1" thickBot="1">
      <c r="A22" s="230" t="s">
        <v>45</v>
      </c>
      <c r="B22" s="281" t="s">
        <v>46</v>
      </c>
      <c r="C22" s="231" t="s">
        <v>47</v>
      </c>
    </row>
    <row r="23" spans="1:13" ht="15" customHeight="1">
      <c r="A23" s="232" t="s">
        <v>48</v>
      </c>
      <c r="B23" s="282">
        <v>80</v>
      </c>
      <c r="C23" s="233">
        <v>80</v>
      </c>
      <c r="D23" s="234"/>
      <c r="E23" s="234"/>
      <c r="F23" s="234"/>
      <c r="G23" s="234"/>
      <c r="H23" s="234"/>
      <c r="I23" s="234"/>
      <c r="J23" s="234"/>
    </row>
    <row r="24" spans="1:13" s="198" customFormat="1" ht="15" customHeight="1">
      <c r="A24" s="265" t="s">
        <v>49</v>
      </c>
      <c r="B24" s="283">
        <v>80</v>
      </c>
      <c r="C24" s="235">
        <v>132</v>
      </c>
      <c r="D24" s="234"/>
      <c r="E24" s="234"/>
      <c r="F24" s="234"/>
      <c r="G24" s="234"/>
      <c r="H24" s="234"/>
      <c r="I24" s="234"/>
      <c r="J24" s="234"/>
    </row>
    <row r="25" spans="1:13" ht="15" customHeight="1">
      <c r="A25" s="265" t="s">
        <v>50</v>
      </c>
      <c r="B25" s="283">
        <v>160</v>
      </c>
      <c r="C25" s="235">
        <v>102</v>
      </c>
      <c r="D25" s="234"/>
      <c r="E25" s="234"/>
      <c r="F25" s="234"/>
      <c r="G25" s="234"/>
      <c r="H25" s="234"/>
      <c r="I25" s="234"/>
      <c r="J25" s="234"/>
    </row>
    <row r="26" spans="1:13" ht="15" customHeight="1">
      <c r="A26" s="265" t="s">
        <v>51</v>
      </c>
      <c r="B26" s="283">
        <v>70</v>
      </c>
      <c r="C26" s="235">
        <v>75</v>
      </c>
      <c r="D26" s="234"/>
      <c r="E26" s="234"/>
      <c r="F26" s="234"/>
      <c r="G26" s="234"/>
      <c r="H26" s="234"/>
      <c r="I26" s="234"/>
      <c r="J26" s="234"/>
    </row>
    <row r="27" spans="1:13" ht="49.5" customHeight="1">
      <c r="A27" s="265" t="s">
        <v>52</v>
      </c>
      <c r="B27" s="283">
        <v>10</v>
      </c>
      <c r="C27" s="235">
        <v>1</v>
      </c>
      <c r="D27" s="234"/>
      <c r="E27" s="234"/>
      <c r="F27" s="234"/>
      <c r="G27" s="234"/>
      <c r="H27" s="234"/>
      <c r="I27" s="234"/>
      <c r="J27" s="234"/>
    </row>
    <row r="28" spans="1:13" ht="15" customHeight="1">
      <c r="A28" s="265" t="s">
        <v>53</v>
      </c>
      <c r="B28" s="283">
        <v>100</v>
      </c>
      <c r="C28" s="235">
        <v>91</v>
      </c>
      <c r="D28" s="234"/>
      <c r="E28" s="234"/>
      <c r="F28" s="234"/>
      <c r="G28" s="234"/>
      <c r="H28" s="234"/>
      <c r="I28" s="234"/>
      <c r="J28" s="234"/>
    </row>
    <row r="29" spans="1:13" ht="15" customHeight="1">
      <c r="A29" s="266" t="s">
        <v>16</v>
      </c>
      <c r="B29" s="284">
        <f>SUM(B23:B28)</f>
        <v>500</v>
      </c>
      <c r="C29" s="267">
        <f>SUM(C23:C28)</f>
        <v>481</v>
      </c>
      <c r="D29" s="234"/>
      <c r="E29" s="234"/>
      <c r="F29" s="234"/>
      <c r="G29" s="234"/>
      <c r="H29" s="234"/>
      <c r="I29" s="234"/>
      <c r="J29" s="234"/>
    </row>
    <row r="30" spans="1:13" ht="15" customHeight="1">
      <c r="A30" s="198"/>
      <c r="B30" s="238"/>
      <c r="C30" s="234"/>
      <c r="D30" s="234"/>
      <c r="E30" s="234"/>
      <c r="F30" s="234"/>
      <c r="G30" s="234"/>
      <c r="H30" s="234"/>
      <c r="I30" s="234"/>
      <c r="J30" s="234"/>
    </row>
    <row r="31" spans="1:13" ht="15" customHeight="1">
      <c r="C31" s="234"/>
      <c r="D31" s="234"/>
      <c r="E31" s="234"/>
      <c r="F31" s="234"/>
      <c r="G31" s="234"/>
      <c r="H31" s="234"/>
      <c r="I31" s="234"/>
      <c r="J31" s="234"/>
    </row>
    <row r="32" spans="1:13" ht="15" customHeight="1">
      <c r="A32" s="198"/>
      <c r="B32" s="236"/>
      <c r="C32" s="237"/>
      <c r="F32" s="198"/>
      <c r="G32" s="198"/>
      <c r="H32" s="198"/>
      <c r="I32" s="198"/>
      <c r="J32" s="198"/>
      <c r="K32" s="198"/>
      <c r="L32" s="198"/>
      <c r="M32" s="198"/>
    </row>
    <row r="33" spans="1:3" ht="15" customHeight="1">
      <c r="A33" s="198"/>
      <c r="B33" s="198"/>
      <c r="C33" s="198"/>
    </row>
    <row r="34" spans="1:3" ht="15" customHeight="1">
      <c r="A34" s="198"/>
      <c r="B34" s="198"/>
      <c r="C34" s="171"/>
    </row>
    <row r="35" spans="1:3" ht="15" customHeight="1">
      <c r="A35" s="198"/>
      <c r="B35" s="198"/>
      <c r="C35" s="198"/>
    </row>
    <row r="36" spans="1:3" ht="15" customHeight="1">
      <c r="A36" s="198"/>
      <c r="B36" s="198"/>
      <c r="C36" s="198"/>
    </row>
    <row r="37" spans="1:3" ht="15" customHeight="1">
      <c r="A37" s="198"/>
      <c r="B37" s="198"/>
      <c r="C37" s="198"/>
    </row>
    <row r="38" spans="1:3" ht="15" customHeight="1">
      <c r="A38" s="198"/>
      <c r="B38" s="198"/>
      <c r="C38" s="198"/>
    </row>
    <row r="39" spans="1:3" ht="15" customHeight="1">
      <c r="A39" s="198"/>
      <c r="B39" s="198"/>
      <c r="C39" s="198"/>
    </row>
    <row r="40" spans="1:3" ht="15" customHeight="1">
      <c r="A40" s="198"/>
      <c r="B40" s="198"/>
      <c r="C40" s="198"/>
    </row>
    <row r="41" spans="1:3" ht="15" customHeight="1">
      <c r="A41" s="198"/>
      <c r="B41" s="198"/>
      <c r="C41" s="198"/>
    </row>
    <row r="42" spans="1:3" ht="15" customHeight="1">
      <c r="A42" s="198"/>
      <c r="B42" s="198"/>
      <c r="C42" s="198"/>
    </row>
    <row r="43" spans="1:3" ht="15" customHeight="1">
      <c r="A43" s="198"/>
      <c r="B43" s="198"/>
      <c r="C43" s="198"/>
    </row>
    <row r="44" spans="1:3" ht="15" customHeight="1">
      <c r="A44" s="198"/>
      <c r="B44" s="198"/>
      <c r="C44" s="198"/>
    </row>
  </sheetData>
  <mergeCells count="4">
    <mergeCell ref="A1:M1"/>
    <mergeCell ref="A8:M8"/>
    <mergeCell ref="A18:M18"/>
    <mergeCell ref="A19:M19"/>
  </mergeCells>
  <pageMargins left="0.511811024" right="0.511811024" top="0.78740157499999996" bottom="0.78740157499999996" header="0.31496062000000002" footer="0.31496062000000002"/>
  <pageSetup paperSize="9" scale="97" fitToHeight="0"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3585-47F6-4215-A182-8F352110B9AE}">
  <sheetPr>
    <pageSetUpPr fitToPage="1"/>
  </sheetPr>
  <dimension ref="A1:K16"/>
  <sheetViews>
    <sheetView zoomScale="70" zoomScaleNormal="70" workbookViewId="0">
      <selection activeCell="A4" sqref="A4:IV4"/>
    </sheetView>
  </sheetViews>
  <sheetFormatPr defaultRowHeight="15" customHeight="1"/>
  <cols>
    <col min="1" max="1" width="42.140625" style="78" bestFit="1" customWidth="1"/>
    <col min="2" max="2" width="27.5703125" style="78" bestFit="1" customWidth="1"/>
    <col min="3" max="3" width="29.5703125" style="78" bestFit="1" customWidth="1"/>
    <col min="4" max="4" width="22.28515625" style="78" bestFit="1" customWidth="1"/>
    <col min="5" max="5" width="20.5703125" style="78" bestFit="1" customWidth="1"/>
    <col min="6" max="7" width="20.140625" style="78" bestFit="1" customWidth="1"/>
    <col min="8" max="8" width="13.5703125" style="78" bestFit="1" customWidth="1"/>
    <col min="9" max="9" width="16.28515625" style="78" bestFit="1" customWidth="1"/>
    <col min="10" max="10" width="17.28515625" style="78" bestFit="1" customWidth="1"/>
    <col min="11" max="11" width="20.5703125" style="78" bestFit="1" customWidth="1"/>
    <col min="12" max="12" width="13.85546875" style="78" bestFit="1" customWidth="1"/>
    <col min="13" max="16384" width="9.140625" style="78"/>
  </cols>
  <sheetData>
    <row r="1" spans="1:11" ht="15.75">
      <c r="A1" s="298" t="s">
        <v>54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s="82" customFormat="1" ht="31.5">
      <c r="A2" s="79" t="s">
        <v>1</v>
      </c>
      <c r="B2" s="79" t="s">
        <v>2</v>
      </c>
      <c r="C2" s="79" t="s">
        <v>3</v>
      </c>
      <c r="D2" s="79" t="s">
        <v>4</v>
      </c>
      <c r="E2" s="80" t="s">
        <v>7</v>
      </c>
      <c r="F2" s="102" t="s">
        <v>5</v>
      </c>
      <c r="G2" s="80" t="s">
        <v>55</v>
      </c>
      <c r="H2" s="133">
        <v>0.02</v>
      </c>
      <c r="I2" s="137">
        <v>2.5000000000000001E-3</v>
      </c>
      <c r="J2" s="81" t="s">
        <v>8</v>
      </c>
      <c r="K2" s="139" t="s">
        <v>9</v>
      </c>
    </row>
    <row r="3" spans="1:11" s="86" customFormat="1" ht="15" customHeight="1">
      <c r="A3" s="83" t="s">
        <v>56</v>
      </c>
      <c r="B3" s="83" t="s">
        <v>11</v>
      </c>
      <c r="C3" s="254">
        <v>87542.27</v>
      </c>
      <c r="D3" s="279">
        <v>4823.47</v>
      </c>
      <c r="E3" s="83"/>
      <c r="F3" s="279">
        <v>10500</v>
      </c>
      <c r="G3" s="279">
        <v>3496.17</v>
      </c>
      <c r="H3" s="142">
        <f>F3*H2</f>
        <v>210</v>
      </c>
      <c r="I3" s="151">
        <f>(C3-D3-E3-F3-G3)*I2</f>
        <v>171.80657500000001</v>
      </c>
      <c r="J3" s="55">
        <v>0</v>
      </c>
      <c r="K3" s="151">
        <f>H3+I3+J3</f>
        <v>381.80657500000001</v>
      </c>
    </row>
    <row r="4" spans="1:11" s="86" customFormat="1" ht="15" customHeight="1">
      <c r="A4" s="83" t="s">
        <v>57</v>
      </c>
      <c r="B4" s="87" t="s">
        <v>11</v>
      </c>
      <c r="C4" s="254">
        <v>86819.46</v>
      </c>
      <c r="D4" s="254">
        <v>5343.42</v>
      </c>
      <c r="E4" s="42"/>
      <c r="F4" s="254">
        <v>11933.55</v>
      </c>
      <c r="G4" s="254">
        <v>3634.9</v>
      </c>
      <c r="H4" s="142">
        <f>F4*H2</f>
        <v>238.67099999999999</v>
      </c>
      <c r="I4" s="151">
        <f>(C4-D4-E4-F4-G4)*I2</f>
        <v>164.76897500000004</v>
      </c>
      <c r="J4" s="55">
        <v>0</v>
      </c>
      <c r="K4" s="151">
        <f>H4+I4+J4</f>
        <v>403.439975</v>
      </c>
    </row>
    <row r="5" spans="1:11" s="86" customFormat="1" ht="15" customHeight="1">
      <c r="A5" s="88"/>
      <c r="B5" s="89"/>
      <c r="C5" s="44"/>
      <c r="D5" s="44"/>
      <c r="E5" s="44"/>
      <c r="F5" s="45"/>
      <c r="G5" s="45"/>
      <c r="H5" s="45"/>
      <c r="I5" s="90"/>
      <c r="J5" s="69"/>
      <c r="K5" s="69"/>
    </row>
    <row r="6" spans="1:11" s="92" customFormat="1" ht="15.75">
      <c r="A6" s="79" t="s">
        <v>1</v>
      </c>
      <c r="B6" s="79" t="s">
        <v>2</v>
      </c>
      <c r="C6" s="217" t="s">
        <v>39</v>
      </c>
      <c r="D6" s="218">
        <v>0.01</v>
      </c>
      <c r="E6" s="219" t="s">
        <v>14</v>
      </c>
      <c r="F6" s="91"/>
      <c r="G6" s="91"/>
      <c r="H6" s="91"/>
      <c r="I6" s="91"/>
      <c r="J6" s="91"/>
      <c r="K6" s="91"/>
    </row>
    <row r="7" spans="1:11" s="86" customFormat="1" ht="15" customHeight="1">
      <c r="A7" s="87" t="s">
        <v>58</v>
      </c>
      <c r="B7" s="87" t="s">
        <v>11</v>
      </c>
      <c r="C7" s="184">
        <v>17747.25</v>
      </c>
      <c r="D7" s="185">
        <f>C7*D6</f>
        <v>177.4725</v>
      </c>
      <c r="E7" s="174">
        <f>D7</f>
        <v>177.4725</v>
      </c>
      <c r="F7" s="91"/>
      <c r="G7" s="91"/>
      <c r="H7" s="91"/>
      <c r="I7" s="91"/>
      <c r="J7" s="91"/>
      <c r="K7" s="91"/>
    </row>
    <row r="8" spans="1:11" ht="15" customHeight="1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ht="15" customHeight="1">
      <c r="A9" s="93" t="s">
        <v>1</v>
      </c>
      <c r="B9" s="93" t="s">
        <v>2</v>
      </c>
      <c r="C9" s="94" t="s">
        <v>27</v>
      </c>
      <c r="D9" s="94" t="s">
        <v>59</v>
      </c>
      <c r="E9" s="152" t="s">
        <v>16</v>
      </c>
    </row>
    <row r="10" spans="1:11" s="86" customFormat="1" ht="15" customHeight="1">
      <c r="A10" s="87" t="s">
        <v>60</v>
      </c>
      <c r="B10" s="87" t="s">
        <v>23</v>
      </c>
      <c r="C10" s="84">
        <v>50</v>
      </c>
      <c r="D10" s="77">
        <v>50</v>
      </c>
      <c r="E10" s="134">
        <f>C10+D10</f>
        <v>100</v>
      </c>
    </row>
    <row r="11" spans="1:11" s="86" customFormat="1" ht="15" customHeight="1">
      <c r="A11" s="87" t="s">
        <v>61</v>
      </c>
      <c r="B11" s="87" t="s">
        <v>23</v>
      </c>
      <c r="C11" s="76">
        <v>50</v>
      </c>
      <c r="D11" s="77">
        <v>50</v>
      </c>
      <c r="E11" s="134">
        <f>C11+D11</f>
        <v>100</v>
      </c>
    </row>
    <row r="12" spans="1:11" s="86" customFormat="1" ht="15" customHeight="1">
      <c r="A12" s="91"/>
      <c r="B12" s="91"/>
      <c r="C12" s="91"/>
      <c r="D12" s="91"/>
      <c r="E12" s="91"/>
      <c r="F12" s="91"/>
      <c r="G12" s="91"/>
      <c r="H12" s="91"/>
      <c r="I12" s="88"/>
    </row>
    <row r="13" spans="1:11" ht="15" customHeight="1">
      <c r="A13" s="93" t="s">
        <v>1</v>
      </c>
      <c r="B13" s="93" t="s">
        <v>2</v>
      </c>
      <c r="C13" s="160">
        <v>5.0000000000000001E-4</v>
      </c>
      <c r="D13" s="96">
        <v>8.0000000000000004E-4</v>
      </c>
      <c r="E13" s="96">
        <v>8.9999999999999998E-4</v>
      </c>
      <c r="F13" s="96">
        <v>1E-3</v>
      </c>
      <c r="G13" s="96">
        <v>1.1000000000000001E-3</v>
      </c>
      <c r="H13" s="96">
        <v>1.1999999999999999E-3</v>
      </c>
      <c r="I13" s="141" t="s">
        <v>16</v>
      </c>
    </row>
    <row r="14" spans="1:11">
      <c r="A14" s="87" t="s">
        <v>62</v>
      </c>
      <c r="B14" s="87" t="s">
        <v>63</v>
      </c>
      <c r="C14" s="270">
        <f>220258.53*C13</f>
        <v>110.129265</v>
      </c>
      <c r="D14" s="97"/>
      <c r="E14" s="98"/>
      <c r="F14" s="84"/>
      <c r="G14" s="77"/>
      <c r="H14" s="42"/>
      <c r="I14" s="142">
        <f>C14</f>
        <v>110.129265</v>
      </c>
    </row>
    <row r="15" spans="1:11" s="86" customFormat="1" ht="15" customHeight="1">
      <c r="A15" s="78"/>
      <c r="B15" s="78"/>
      <c r="C15" s="76"/>
      <c r="G15" s="78"/>
      <c r="H15" s="78"/>
      <c r="I15" s="78"/>
    </row>
    <row r="16" spans="1:11" ht="15" customHeight="1">
      <c r="C16" s="86"/>
      <c r="D16" s="86"/>
      <c r="E16" s="86"/>
      <c r="F16" s="86"/>
      <c r="G16" s="86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scale="97" fitToHeight="0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78F8-03BD-4DE2-9C79-C77447B5FF8A}">
  <sheetPr>
    <pageSetUpPr fitToPage="1"/>
  </sheetPr>
  <dimension ref="A1:J21"/>
  <sheetViews>
    <sheetView zoomScale="90" zoomScaleNormal="90" workbookViewId="0">
      <pane xSplit="1" topLeftCell="B1" activePane="topRight" state="frozen"/>
      <selection pane="topRight" activeCell="A3" sqref="A3:IV3"/>
    </sheetView>
  </sheetViews>
  <sheetFormatPr defaultRowHeight="12.75"/>
  <cols>
    <col min="1" max="1" width="33.28515625" style="32" customWidth="1"/>
    <col min="2" max="2" width="22.42578125" style="32" customWidth="1"/>
    <col min="3" max="3" width="19.5703125" style="32" bestFit="1" customWidth="1"/>
    <col min="4" max="5" width="18.28515625" style="32" bestFit="1" customWidth="1"/>
    <col min="6" max="6" width="10.5703125" style="32" customWidth="1"/>
    <col min="7" max="7" width="15.7109375" style="32" bestFit="1" customWidth="1"/>
    <col min="8" max="9" width="12.85546875" style="32" bestFit="1" customWidth="1"/>
    <col min="10" max="10" width="24.85546875" style="32" bestFit="1" customWidth="1"/>
    <col min="11" max="11" width="13.42578125" style="32" customWidth="1"/>
    <col min="12" max="16384" width="9.140625" style="32"/>
  </cols>
  <sheetData>
    <row r="1" spans="1:10" ht="15.75">
      <c r="A1" s="300" t="s">
        <v>64</v>
      </c>
      <c r="B1" s="301"/>
      <c r="C1" s="301"/>
      <c r="D1" s="301"/>
      <c r="E1" s="301"/>
      <c r="F1" s="301"/>
      <c r="G1" s="301"/>
      <c r="H1" s="301"/>
      <c r="I1" s="301"/>
      <c r="J1" s="301"/>
    </row>
    <row r="2" spans="1:10" s="31" customFormat="1" ht="25.5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/>
      <c r="G2" s="149">
        <v>0.02</v>
      </c>
      <c r="H2" s="145">
        <v>2.5000000000000001E-3</v>
      </c>
      <c r="I2" s="30" t="s">
        <v>65</v>
      </c>
      <c r="J2" s="143" t="s">
        <v>9</v>
      </c>
    </row>
    <row r="3" spans="1:10" s="56" customFormat="1" ht="30">
      <c r="A3" s="33" t="s">
        <v>66</v>
      </c>
      <c r="B3" s="33" t="s">
        <v>11</v>
      </c>
      <c r="C3" s="101">
        <v>69719.23</v>
      </c>
      <c r="D3" s="100">
        <v>2645.42</v>
      </c>
      <c r="E3" s="100">
        <v>4011.41</v>
      </c>
      <c r="F3" s="99"/>
      <c r="G3" s="150">
        <f>E3*2%</f>
        <v>80.228200000000001</v>
      </c>
      <c r="H3" s="148">
        <f>(C3-D3-E3-F3)*H2</f>
        <v>157.65599999999998</v>
      </c>
      <c r="I3" s="101">
        <v>0</v>
      </c>
      <c r="J3" s="144">
        <f>G3+H3+I3</f>
        <v>237.88419999999996</v>
      </c>
    </row>
    <row r="4" spans="1:10" s="56" customFormat="1" ht="30">
      <c r="A4" s="255" t="s">
        <v>67</v>
      </c>
      <c r="B4" s="255" t="s">
        <v>11</v>
      </c>
      <c r="C4" s="256"/>
      <c r="D4" s="256"/>
      <c r="E4" s="273"/>
      <c r="F4" s="258"/>
      <c r="G4" s="259">
        <f>E4*2%</f>
        <v>0</v>
      </c>
      <c r="H4" s="260">
        <f>(C4-D4-E4-F4)*H2</f>
        <v>0</v>
      </c>
      <c r="I4" s="256">
        <v>0</v>
      </c>
      <c r="J4" s="261">
        <f>G4+H4+I4</f>
        <v>0</v>
      </c>
    </row>
    <row r="5" spans="1:10" s="56" customFormat="1" ht="30">
      <c r="A5" s="255" t="s">
        <v>68</v>
      </c>
      <c r="B5" s="255" t="s">
        <v>11</v>
      </c>
      <c r="C5" s="256"/>
      <c r="D5" s="257"/>
      <c r="E5" s="272"/>
      <c r="F5" s="258"/>
      <c r="G5" s="259">
        <f>E5*2%</f>
        <v>0</v>
      </c>
      <c r="H5" s="260">
        <f>(C5-D5-E5-F5)*H2</f>
        <v>0</v>
      </c>
      <c r="I5" s="256">
        <v>0</v>
      </c>
      <c r="J5" s="261">
        <f>G5+H5+I5</f>
        <v>0</v>
      </c>
    </row>
    <row r="6" spans="1:10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s="31" customFormat="1" ht="25.5">
      <c r="A7" s="27" t="s">
        <v>1</v>
      </c>
      <c r="B7" s="27" t="s">
        <v>2</v>
      </c>
      <c r="C7" s="27" t="s">
        <v>27</v>
      </c>
      <c r="D7" s="27" t="s">
        <v>21</v>
      </c>
      <c r="E7" s="143" t="s">
        <v>16</v>
      </c>
    </row>
    <row r="8" spans="1:10" s="35" customFormat="1" ht="30">
      <c r="A8" s="33" t="s">
        <v>69</v>
      </c>
      <c r="B8" s="33" t="s">
        <v>23</v>
      </c>
      <c r="C8" s="34">
        <v>50</v>
      </c>
      <c r="D8" s="34">
        <v>50</v>
      </c>
      <c r="E8" s="147">
        <f>C8+D8</f>
        <v>100</v>
      </c>
    </row>
    <row r="9" spans="1:10" s="35" customFormat="1" ht="30">
      <c r="A9" s="33" t="s">
        <v>70</v>
      </c>
      <c r="B9" s="33" t="s">
        <v>23</v>
      </c>
      <c r="C9" s="34">
        <v>50</v>
      </c>
      <c r="D9" s="34">
        <v>50</v>
      </c>
      <c r="E9" s="147">
        <f>C9+D9</f>
        <v>100</v>
      </c>
    </row>
    <row r="10" spans="1:10">
      <c r="A10" s="36"/>
      <c r="B10" s="36"/>
      <c r="C10" s="36"/>
      <c r="D10" s="36"/>
      <c r="E10" s="36"/>
      <c r="F10" s="36"/>
      <c r="G10" s="36"/>
      <c r="H10" s="36"/>
      <c r="I10" s="36"/>
    </row>
    <row r="11" spans="1:10">
      <c r="A11" s="37" t="s">
        <v>1</v>
      </c>
      <c r="B11" s="37" t="s">
        <v>2</v>
      </c>
      <c r="C11" s="30">
        <v>5.0000000000000001E-4</v>
      </c>
      <c r="D11" s="30">
        <v>8.0000000000000004E-4</v>
      </c>
      <c r="E11" s="30">
        <v>1E-3</v>
      </c>
      <c r="F11" s="30">
        <v>1.1000000000000001E-3</v>
      </c>
      <c r="G11" s="30">
        <v>1.1999999999999999E-3</v>
      </c>
      <c r="H11" s="145" t="s">
        <v>71</v>
      </c>
      <c r="I11" s="145" t="s">
        <v>16</v>
      </c>
    </row>
    <row r="12" spans="1:10" s="35" customFormat="1" ht="30">
      <c r="A12" s="33" t="s">
        <v>72</v>
      </c>
      <c r="B12" s="33" t="s">
        <v>18</v>
      </c>
      <c r="C12" s="34">
        <f>249372.71*C11</f>
        <v>124.68635499999999</v>
      </c>
      <c r="D12" s="274"/>
      <c r="E12" s="70"/>
      <c r="F12" s="70"/>
      <c r="G12" s="70"/>
      <c r="H12" s="146">
        <f>1614.41*40%-113.01</f>
        <v>532.75400000000013</v>
      </c>
      <c r="I12" s="146">
        <f>C12+H12</f>
        <v>657.44035500000018</v>
      </c>
    </row>
    <row r="15" spans="1:10" ht="15">
      <c r="A15" s="38"/>
      <c r="B15" s="38"/>
      <c r="C15" s="38"/>
      <c r="D15" s="38"/>
      <c r="E15" s="38"/>
      <c r="F15" s="243"/>
      <c r="H15" s="38"/>
      <c r="I15" s="38"/>
      <c r="J15" s="38"/>
    </row>
    <row r="16" spans="1:10" ht="15">
      <c r="A16" s="38"/>
      <c r="B16" s="38"/>
      <c r="C16" s="38"/>
      <c r="D16" s="38"/>
      <c r="E16" s="38"/>
      <c r="F16" s="38"/>
      <c r="H16" s="38"/>
      <c r="I16" s="38"/>
      <c r="J16" s="38"/>
    </row>
    <row r="17" spans="1:10" ht="15">
      <c r="A17" s="38"/>
      <c r="B17" s="38"/>
      <c r="C17" s="38"/>
      <c r="D17" s="38"/>
      <c r="E17" s="38"/>
      <c r="F17" s="38"/>
      <c r="H17" s="38"/>
      <c r="I17" s="38"/>
      <c r="J17" s="38"/>
    </row>
    <row r="18" spans="1:10" ht="15">
      <c r="A18" s="38"/>
      <c r="B18" s="38"/>
      <c r="C18" s="38"/>
      <c r="D18" s="264"/>
      <c r="E18" s="38"/>
      <c r="F18" s="38"/>
      <c r="H18" s="38"/>
      <c r="I18" s="38"/>
      <c r="J18" s="38"/>
    </row>
    <row r="19" spans="1:10" ht="15">
      <c r="A19" s="38"/>
      <c r="B19" s="38"/>
      <c r="C19" s="38"/>
      <c r="D19" s="38"/>
      <c r="E19" s="38"/>
      <c r="F19" s="38"/>
      <c r="H19" s="38"/>
      <c r="I19" s="38"/>
      <c r="J19" s="38"/>
    </row>
    <row r="20" spans="1:10" ht="15">
      <c r="A20" s="38"/>
      <c r="B20" s="38"/>
      <c r="C20" s="38"/>
      <c r="D20" s="38"/>
      <c r="E20" s="38"/>
      <c r="F20" s="38"/>
      <c r="H20" s="38"/>
      <c r="I20" s="38"/>
      <c r="J20" s="38"/>
    </row>
    <row r="21" spans="1:10" ht="15">
      <c r="A21" s="38"/>
      <c r="B21" s="38"/>
      <c r="C21" s="38"/>
      <c r="D21" s="38"/>
      <c r="E21" s="38"/>
      <c r="F21" s="38"/>
      <c r="H21" s="38"/>
      <c r="I21" s="38"/>
      <c r="J21" s="38"/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scale="97" fitToHeight="0" orientation="landscape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19DD-55A1-40A5-B574-18D2D3983B0C}">
  <sheetPr>
    <pageSetUpPr fitToPage="1"/>
  </sheetPr>
  <dimension ref="A1:M15"/>
  <sheetViews>
    <sheetView zoomScale="80" zoomScaleNormal="80" zoomScaleSheetLayoutView="70" workbookViewId="0">
      <pane xSplit="1" ySplit="2" topLeftCell="B3" activePane="bottomRight" state="frozen"/>
      <selection pane="bottomRight" activeCell="B19" sqref="B19"/>
      <selection pane="bottomLeft" activeCell="A3" sqref="A3"/>
      <selection pane="topRight" activeCell="B1" sqref="B1"/>
    </sheetView>
  </sheetViews>
  <sheetFormatPr defaultRowHeight="15" customHeight="1"/>
  <cols>
    <col min="1" max="1" width="24.28515625" style="86" bestFit="1" customWidth="1"/>
    <col min="2" max="2" width="29.42578125" style="86" bestFit="1" customWidth="1"/>
    <col min="3" max="3" width="30" style="86" bestFit="1" customWidth="1"/>
    <col min="4" max="4" width="15.7109375" style="86" bestFit="1" customWidth="1"/>
    <col min="5" max="5" width="15.5703125" style="86" bestFit="1" customWidth="1"/>
    <col min="6" max="6" width="18.42578125" style="86" bestFit="1" customWidth="1"/>
    <col min="7" max="7" width="11.7109375" style="86" bestFit="1" customWidth="1"/>
    <col min="8" max="8" width="13.28515625" style="86" bestFit="1" customWidth="1"/>
    <col min="9" max="9" width="16.42578125" style="86" bestFit="1" customWidth="1"/>
    <col min="10" max="10" width="19.85546875" style="86" bestFit="1" customWidth="1"/>
    <col min="11" max="11" width="18.42578125" style="86" bestFit="1" customWidth="1"/>
    <col min="12" max="12" width="16" style="86" customWidth="1"/>
    <col min="13" max="13" width="13.28515625" style="86" bestFit="1" customWidth="1"/>
    <col min="14" max="16384" width="9.140625" style="86"/>
  </cols>
  <sheetData>
    <row r="1" spans="1:13" ht="18.75" customHeight="1">
      <c r="A1" s="302" t="s">
        <v>73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pans="1:13" s="104" customFormat="1" ht="47.25">
      <c r="A2" s="285" t="s">
        <v>1</v>
      </c>
      <c r="B2" s="285" t="s">
        <v>2</v>
      </c>
      <c r="C2" s="102" t="s">
        <v>3</v>
      </c>
      <c r="D2" s="285" t="s">
        <v>4</v>
      </c>
      <c r="E2" s="71" t="s">
        <v>74</v>
      </c>
      <c r="F2" s="102" t="s">
        <v>5</v>
      </c>
      <c r="G2" s="80"/>
      <c r="H2" s="133">
        <v>0.02</v>
      </c>
      <c r="I2" s="137">
        <v>2.5000000000000001E-3</v>
      </c>
      <c r="J2" s="80"/>
      <c r="K2" s="135" t="s">
        <v>9</v>
      </c>
      <c r="L2" s="103"/>
      <c r="M2" s="103"/>
    </row>
    <row r="3" spans="1:13" ht="15" customHeight="1">
      <c r="A3" s="87" t="s">
        <v>75</v>
      </c>
      <c r="B3" s="87" t="s">
        <v>11</v>
      </c>
      <c r="C3" s="119">
        <v>122355.44</v>
      </c>
      <c r="D3" s="119">
        <v>5306</v>
      </c>
      <c r="E3" s="119">
        <v>6480.38</v>
      </c>
      <c r="F3" s="280">
        <v>15931.43</v>
      </c>
      <c r="G3" s="119"/>
      <c r="H3" s="134">
        <f>F3*H2</f>
        <v>318.62860000000001</v>
      </c>
      <c r="I3" s="136">
        <f>(C3-D3-E3-F3-G3)*I2</f>
        <v>236.594075</v>
      </c>
      <c r="J3" s="119"/>
      <c r="K3" s="136">
        <f>H3+I3+J3</f>
        <v>555.22267499999998</v>
      </c>
    </row>
    <row r="4" spans="1:13" ht="15" customHeight="1">
      <c r="A4" s="87" t="s">
        <v>76</v>
      </c>
      <c r="B4" s="87" t="s">
        <v>11</v>
      </c>
      <c r="C4" s="105">
        <v>162238.32</v>
      </c>
      <c r="D4" s="105">
        <v>7248.26</v>
      </c>
      <c r="E4" s="105">
        <v>6563.7</v>
      </c>
      <c r="F4" s="119">
        <v>29315.89</v>
      </c>
      <c r="G4" s="105"/>
      <c r="H4" s="134">
        <f>F4*2%</f>
        <v>586.31780000000003</v>
      </c>
      <c r="I4" s="136">
        <f>(C4-D4-E4-F4-G4)*I2</f>
        <v>297.77617499999997</v>
      </c>
      <c r="J4" s="119"/>
      <c r="K4" s="136">
        <f>H4+I4+J4</f>
        <v>884.093975</v>
      </c>
    </row>
    <row r="5" spans="1:13" ht="15" customHeight="1">
      <c r="A5" s="249" t="s">
        <v>77</v>
      </c>
      <c r="B5" s="249" t="s">
        <v>11</v>
      </c>
      <c r="C5" s="250"/>
      <c r="D5" s="250"/>
      <c r="E5" s="250"/>
      <c r="F5" s="250"/>
      <c r="G5" s="250"/>
      <c r="H5" s="134">
        <f>F5*2%</f>
        <v>0</v>
      </c>
      <c r="I5" s="136">
        <f>(C5-D5-E5-F5-G5)*I2</f>
        <v>0</v>
      </c>
      <c r="J5" s="119"/>
      <c r="K5" s="136">
        <f>H5+I5+J5</f>
        <v>0</v>
      </c>
    </row>
    <row r="6" spans="1:13" ht="15" customHeight="1">
      <c r="A6" s="108" t="s">
        <v>78</v>
      </c>
      <c r="B6" s="108"/>
      <c r="C6" s="108"/>
      <c r="D6" s="108"/>
      <c r="E6" s="108"/>
      <c r="F6" s="103"/>
      <c r="G6" s="103"/>
      <c r="H6" s="103"/>
      <c r="I6" s="103"/>
      <c r="J6" s="103"/>
    </row>
    <row r="7" spans="1:13" ht="15" customHeight="1">
      <c r="A7" s="109" t="s">
        <v>1</v>
      </c>
      <c r="B7" s="109" t="s">
        <v>2</v>
      </c>
      <c r="C7" s="95" t="s">
        <v>27</v>
      </c>
      <c r="D7" s="95" t="s">
        <v>79</v>
      </c>
      <c r="E7" s="95" t="s">
        <v>16</v>
      </c>
      <c r="L7" s="121"/>
    </row>
    <row r="8" spans="1:13" ht="15" customHeight="1">
      <c r="A8" s="83" t="s">
        <v>80</v>
      </c>
      <c r="B8" s="87" t="s">
        <v>23</v>
      </c>
      <c r="C8" s="77">
        <v>0</v>
      </c>
      <c r="D8" s="110">
        <v>50</v>
      </c>
      <c r="E8" s="77">
        <f>C8+D8</f>
        <v>50</v>
      </c>
      <c r="K8" s="106"/>
      <c r="L8" s="121"/>
    </row>
    <row r="9" spans="1:13" ht="15" customHeight="1">
      <c r="A9" s="87" t="s">
        <v>81</v>
      </c>
      <c r="B9" s="87" t="s">
        <v>23</v>
      </c>
      <c r="C9" s="77">
        <v>119.22</v>
      </c>
      <c r="D9" s="110">
        <v>50</v>
      </c>
      <c r="E9" s="77">
        <f>C9+D9</f>
        <v>169.22</v>
      </c>
      <c r="K9" s="107"/>
      <c r="L9" s="121"/>
    </row>
    <row r="10" spans="1:13" ht="15" customHeight="1">
      <c r="A10" s="111"/>
      <c r="B10" s="111"/>
      <c r="C10" s="111"/>
      <c r="D10" s="111">
        <v>3</v>
      </c>
      <c r="E10" s="111"/>
      <c r="F10" s="106"/>
      <c r="G10" s="106"/>
      <c r="H10" s="106"/>
      <c r="I10" s="106"/>
      <c r="J10" s="106"/>
      <c r="K10" s="120"/>
      <c r="L10" s="121"/>
    </row>
    <row r="11" spans="1:13" ht="15" customHeight="1">
      <c r="A11" s="109" t="s">
        <v>1</v>
      </c>
      <c r="B11" s="109" t="s">
        <v>2</v>
      </c>
      <c r="C11" s="112">
        <v>5.0000000000000001E-4</v>
      </c>
      <c r="D11" s="112">
        <v>8.0000000000000004E-4</v>
      </c>
      <c r="E11" s="112">
        <v>8.9999999999999998E-4</v>
      </c>
      <c r="F11" s="112">
        <v>1E-3</v>
      </c>
      <c r="G11" s="112">
        <v>1.1000000000000001E-3</v>
      </c>
      <c r="H11" s="112">
        <v>1.1999999999999999E-3</v>
      </c>
      <c r="I11" s="138" t="s">
        <v>16</v>
      </c>
      <c r="J11" s="107"/>
      <c r="K11" s="113"/>
      <c r="L11" s="121"/>
    </row>
    <row r="12" spans="1:13" ht="15" customHeight="1">
      <c r="A12" s="87" t="s">
        <v>82</v>
      </c>
      <c r="B12" s="87" t="s">
        <v>18</v>
      </c>
      <c r="C12" s="114"/>
      <c r="D12" s="114"/>
      <c r="E12" s="140">
        <f>449827.42*E11</f>
        <v>404.84467799999999</v>
      </c>
      <c r="F12" s="42"/>
      <c r="G12" s="114"/>
      <c r="H12" s="77"/>
      <c r="I12" s="134">
        <f>E12</f>
        <v>404.84467799999999</v>
      </c>
      <c r="J12" s="120"/>
      <c r="K12" s="122"/>
    </row>
    <row r="13" spans="1:13" ht="15" customHeight="1" thickBot="1">
      <c r="A13" s="89"/>
      <c r="B13" s="89"/>
      <c r="C13" s="115"/>
      <c r="D13" s="115"/>
      <c r="E13" s="115"/>
      <c r="F13" s="115"/>
      <c r="G13" s="116"/>
      <c r="H13" s="117"/>
      <c r="I13" s="118"/>
      <c r="J13" s="118"/>
      <c r="K13" s="120"/>
      <c r="L13" s="122"/>
    </row>
    <row r="14" spans="1:13" ht="15" customHeight="1" thickBot="1">
      <c r="A14" s="164" t="s">
        <v>1</v>
      </c>
      <c r="B14" s="165" t="s">
        <v>2</v>
      </c>
      <c r="C14" s="166" t="s">
        <v>83</v>
      </c>
      <c r="D14" s="40">
        <v>0.01</v>
      </c>
      <c r="E14" s="129" t="s">
        <v>84</v>
      </c>
    </row>
    <row r="15" spans="1:13" ht="15" customHeight="1" thickBot="1">
      <c r="A15" s="167" t="s">
        <v>81</v>
      </c>
      <c r="B15" s="168" t="s">
        <v>11</v>
      </c>
      <c r="C15" s="169"/>
      <c r="D15" s="19"/>
      <c r="E15" s="126">
        <f>SUM(C15*D14)</f>
        <v>0</v>
      </c>
    </row>
  </sheetData>
  <mergeCells count="1">
    <mergeCell ref="A1:M1"/>
  </mergeCells>
  <phoneticPr fontId="12" type="noConversion"/>
  <pageMargins left="0.511811024" right="0.511811024" top="0.78740157499999996" bottom="0.78740157499999996" header="0.31496062000000002" footer="0.31496062000000002"/>
  <pageSetup paperSize="9" scale="63" fitToHeight="0" orientation="landscape" horizontalDpi="203" verticalDpi="20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DC01-4CC5-4394-BEF0-00AA51D9345D}">
  <sheetPr>
    <pageSetUpPr fitToPage="1"/>
  </sheetPr>
  <dimension ref="A1:M14"/>
  <sheetViews>
    <sheetView zoomScale="85" zoomScaleNormal="85" zoomScaleSheetLayoutView="70" workbookViewId="0">
      <pane xSplit="1" topLeftCell="B1" activePane="topRight" state="frozen"/>
      <selection pane="topRight" activeCell="C3" sqref="C3"/>
    </sheetView>
  </sheetViews>
  <sheetFormatPr defaultRowHeight="15" customHeight="1"/>
  <cols>
    <col min="1" max="1" width="32.7109375" style="14" customWidth="1"/>
    <col min="2" max="2" width="27.7109375" style="14" bestFit="1" customWidth="1"/>
    <col min="3" max="3" width="23" style="14" customWidth="1"/>
    <col min="4" max="4" width="16.85546875" style="14" bestFit="1" customWidth="1"/>
    <col min="5" max="5" width="16.42578125" style="14" customWidth="1"/>
    <col min="6" max="7" width="15.5703125" style="14" bestFit="1" customWidth="1"/>
    <col min="8" max="8" width="13.140625" style="14" bestFit="1" customWidth="1"/>
    <col min="9" max="9" width="15.5703125" style="14" bestFit="1" customWidth="1"/>
    <col min="10" max="10" width="13.28515625" style="14" bestFit="1" customWidth="1"/>
    <col min="11" max="11" width="16.28515625" style="14" bestFit="1" customWidth="1"/>
    <col min="12" max="12" width="11.5703125" style="14" bestFit="1" customWidth="1"/>
    <col min="13" max="13" width="17.28515625" style="14" bestFit="1" customWidth="1"/>
    <col min="14" max="16384" width="9.140625" style="14"/>
  </cols>
  <sheetData>
    <row r="1" spans="1:13" ht="18.75" customHeight="1">
      <c r="A1" s="304" t="s">
        <v>85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</row>
    <row r="2" spans="1:13" s="41" customFormat="1" ht="25.5">
      <c r="A2" s="39" t="s">
        <v>1</v>
      </c>
      <c r="B2" s="39" t="s">
        <v>2</v>
      </c>
      <c r="C2" s="39" t="s">
        <v>3</v>
      </c>
      <c r="D2" s="39" t="s">
        <v>4</v>
      </c>
      <c r="E2" s="28" t="s">
        <v>5</v>
      </c>
      <c r="F2" s="28" t="s">
        <v>86</v>
      </c>
      <c r="G2" s="27" t="s">
        <v>7</v>
      </c>
      <c r="H2" s="124">
        <v>0.02</v>
      </c>
      <c r="I2" s="125">
        <v>2.5000000000000001E-3</v>
      </c>
      <c r="J2" s="30" t="s">
        <v>8</v>
      </c>
      <c r="K2" s="128" t="s">
        <v>9</v>
      </c>
    </row>
    <row r="3" spans="1:13" ht="15" customHeight="1">
      <c r="A3" s="53" t="s">
        <v>87</v>
      </c>
      <c r="B3" s="54" t="s">
        <v>11</v>
      </c>
      <c r="C3" s="74"/>
      <c r="D3" s="74"/>
      <c r="E3" s="123"/>
      <c r="F3" s="74"/>
      <c r="G3" s="18"/>
      <c r="H3" s="126">
        <f>E3*2%</f>
        <v>0</v>
      </c>
      <c r="I3" s="127">
        <f>(C3-D3-E3-F3-G3)*0.25%</f>
        <v>0</v>
      </c>
      <c r="J3" s="18"/>
      <c r="K3" s="127">
        <f>H3+I3+J3</f>
        <v>0</v>
      </c>
    </row>
    <row r="4" spans="1:13" ht="15" customHeight="1">
      <c r="A4" s="53" t="s">
        <v>88</v>
      </c>
      <c r="B4" s="54" t="s">
        <v>11</v>
      </c>
      <c r="C4" s="262"/>
      <c r="D4" s="262"/>
      <c r="E4" s="263"/>
      <c r="F4" s="262"/>
      <c r="G4" s="18"/>
      <c r="H4" s="126">
        <f>E4*2%</f>
        <v>0</v>
      </c>
      <c r="I4" s="127">
        <f>(C4-D4-E4-F4-G4)*0.25%</f>
        <v>0</v>
      </c>
      <c r="J4" s="18"/>
      <c r="K4" s="127">
        <f>H4+I4+J4</f>
        <v>0</v>
      </c>
    </row>
    <row r="5" spans="1:13" ht="15" customHeight="1">
      <c r="A5" s="50"/>
      <c r="B5" s="51"/>
      <c r="C5" s="49"/>
      <c r="D5" s="49"/>
      <c r="E5" s="49"/>
      <c r="F5" s="49"/>
      <c r="G5" s="49"/>
      <c r="H5" s="49"/>
      <c r="I5" s="48"/>
      <c r="J5" s="49"/>
      <c r="K5" s="49"/>
      <c r="L5" s="49"/>
      <c r="M5" s="49"/>
    </row>
    <row r="6" spans="1:13" ht="12.75" customHeight="1">
      <c r="A6" s="39" t="s">
        <v>1</v>
      </c>
      <c r="B6" s="39" t="s">
        <v>2</v>
      </c>
      <c r="C6" s="52" t="s">
        <v>89</v>
      </c>
      <c r="D6" s="40">
        <v>0.01</v>
      </c>
      <c r="E6" s="129" t="s">
        <v>84</v>
      </c>
      <c r="F6" s="49"/>
      <c r="G6" s="49"/>
      <c r="H6" s="49"/>
      <c r="I6" s="67"/>
      <c r="J6" s="68"/>
      <c r="K6" s="49"/>
      <c r="L6" s="49"/>
      <c r="M6" s="66"/>
    </row>
    <row r="7" spans="1:13">
      <c r="A7" s="132" t="s">
        <v>90</v>
      </c>
      <c r="B7" s="54" t="s">
        <v>11</v>
      </c>
      <c r="C7" s="74">
        <v>23703.73</v>
      </c>
      <c r="D7" s="19"/>
      <c r="E7" s="126">
        <f>SUM(C7*D6)</f>
        <v>237.03729999999999</v>
      </c>
      <c r="F7" s="48"/>
      <c r="G7" s="48"/>
      <c r="H7" s="49"/>
      <c r="I7" s="48"/>
      <c r="J7" s="49"/>
      <c r="K7" s="49"/>
      <c r="L7" s="49"/>
      <c r="M7" s="49"/>
    </row>
    <row r="8" spans="1:13" ht="15" customHeight="1">
      <c r="A8" s="305"/>
      <c r="B8" s="305"/>
      <c r="C8" s="305"/>
      <c r="D8" s="305"/>
      <c r="E8" s="305"/>
      <c r="F8" s="305"/>
      <c r="G8" s="305"/>
      <c r="H8" s="305"/>
      <c r="I8" s="305"/>
      <c r="J8" s="305"/>
      <c r="K8" s="305"/>
    </row>
    <row r="9" spans="1:13" ht="15" customHeight="1">
      <c r="A9" s="24" t="s">
        <v>1</v>
      </c>
      <c r="B9" s="24" t="s">
        <v>2</v>
      </c>
      <c r="C9" s="8" t="s">
        <v>19</v>
      </c>
      <c r="D9" s="8" t="s">
        <v>21</v>
      </c>
      <c r="E9" s="130" t="s">
        <v>16</v>
      </c>
    </row>
    <row r="10" spans="1:13" ht="15" customHeight="1">
      <c r="A10" s="13" t="s">
        <v>91</v>
      </c>
      <c r="B10" s="13" t="s">
        <v>23</v>
      </c>
      <c r="C10" s="25">
        <v>50</v>
      </c>
      <c r="D10" s="25">
        <v>50</v>
      </c>
      <c r="E10" s="131">
        <f>C10+D10</f>
        <v>100</v>
      </c>
    </row>
    <row r="11" spans="1:13" ht="15" customHeight="1">
      <c r="A11" s="36"/>
      <c r="B11" s="36"/>
      <c r="C11" s="36"/>
      <c r="D11" s="36"/>
      <c r="E11" s="36"/>
      <c r="F11" s="36"/>
      <c r="G11" s="36"/>
      <c r="H11" s="36"/>
      <c r="I11" s="36"/>
      <c r="J11" s="26"/>
      <c r="K11" s="26"/>
    </row>
    <row r="12" spans="1:13" ht="15" customHeight="1">
      <c r="A12" s="37" t="s">
        <v>1</v>
      </c>
      <c r="B12" s="37" t="s">
        <v>2</v>
      </c>
      <c r="C12" s="30">
        <v>5.0000000000000001E-4</v>
      </c>
      <c r="D12" s="30">
        <v>8.0000000000000004E-4</v>
      </c>
      <c r="E12" s="30">
        <v>1E-3</v>
      </c>
      <c r="F12" s="30">
        <v>1.1000000000000001E-3</v>
      </c>
      <c r="G12" s="30">
        <v>1.1999999999999999E-3</v>
      </c>
      <c r="H12" s="145" t="s">
        <v>71</v>
      </c>
      <c r="I12" s="145" t="s">
        <v>16</v>
      </c>
      <c r="J12" s="22"/>
      <c r="K12" s="22"/>
      <c r="L12" s="22"/>
    </row>
    <row r="13" spans="1:13" ht="15" customHeight="1">
      <c r="A13" s="33" t="s">
        <v>92</v>
      </c>
      <c r="B13" s="33" t="s">
        <v>18</v>
      </c>
      <c r="C13" s="163">
        <f>164745.57*C12</f>
        <v>82.372785000000007</v>
      </c>
      <c r="D13" s="274"/>
      <c r="E13" s="70"/>
      <c r="F13" s="70"/>
      <c r="G13" s="70"/>
      <c r="H13" s="146">
        <f>1780*40%-80</f>
        <v>632</v>
      </c>
      <c r="I13" s="146">
        <f>C13+H13</f>
        <v>714.37278500000002</v>
      </c>
    </row>
    <row r="14" spans="1:13" ht="12.75"/>
  </sheetData>
  <mergeCells count="2">
    <mergeCell ref="A1:M1"/>
    <mergeCell ref="A8:K8"/>
  </mergeCells>
  <pageMargins left="0.511811024" right="0.511811024" top="0.78740157499999996" bottom="0.78740157499999996" header="0.31496062000000002" footer="0.31496062000000002"/>
  <pageSetup paperSize="9" scale="63" fitToHeight="0" orientation="landscape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67F8-A37E-4DDB-87DB-2E670CC17E01}">
  <sheetPr>
    <pageSetUpPr fitToPage="1"/>
  </sheetPr>
  <dimension ref="A1:K15"/>
  <sheetViews>
    <sheetView tabSelected="1" zoomScale="70" zoomScaleNormal="70" workbookViewId="0">
      <selection activeCell="I5" sqref="I5"/>
    </sheetView>
  </sheetViews>
  <sheetFormatPr defaultRowHeight="15" customHeight="1"/>
  <cols>
    <col min="1" max="1" width="42.140625" style="78" bestFit="1" customWidth="1"/>
    <col min="2" max="2" width="27.5703125" style="78" bestFit="1" customWidth="1"/>
    <col min="3" max="3" width="29.5703125" style="78" bestFit="1" customWidth="1"/>
    <col min="4" max="4" width="22.28515625" style="78" bestFit="1" customWidth="1"/>
    <col min="5" max="5" width="20.5703125" style="78" bestFit="1" customWidth="1"/>
    <col min="6" max="7" width="20.140625" style="78" bestFit="1" customWidth="1"/>
    <col min="8" max="8" width="13.5703125" style="78" bestFit="1" customWidth="1"/>
    <col min="9" max="9" width="14.85546875" style="78" bestFit="1" customWidth="1"/>
    <col min="10" max="10" width="17.28515625" style="78" bestFit="1" customWidth="1"/>
    <col min="11" max="11" width="20.5703125" style="78" bestFit="1" customWidth="1"/>
    <col min="12" max="12" width="13.85546875" style="78" bestFit="1" customWidth="1"/>
    <col min="13" max="16384" width="9.140625" style="78"/>
  </cols>
  <sheetData>
    <row r="1" spans="1:11" ht="15.75">
      <c r="A1" s="298" t="s">
        <v>54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s="82" customFormat="1" ht="31.5">
      <c r="A2" s="79" t="s">
        <v>1</v>
      </c>
      <c r="B2" s="79" t="s">
        <v>2</v>
      </c>
      <c r="C2" s="79" t="s">
        <v>3</v>
      </c>
      <c r="D2" s="79" t="s">
        <v>4</v>
      </c>
      <c r="E2" s="80" t="s">
        <v>7</v>
      </c>
      <c r="F2" s="102" t="s">
        <v>5</v>
      </c>
      <c r="G2" s="80" t="s">
        <v>55</v>
      </c>
      <c r="H2" s="133">
        <v>0.02</v>
      </c>
      <c r="I2" s="137">
        <v>2.5000000000000001E-3</v>
      </c>
      <c r="J2" s="81" t="s">
        <v>8</v>
      </c>
      <c r="K2" s="139" t="s">
        <v>9</v>
      </c>
    </row>
    <row r="3" spans="1:11" s="86" customFormat="1" ht="15" customHeight="1">
      <c r="A3" s="83" t="s">
        <v>93</v>
      </c>
      <c r="B3" s="83" t="s">
        <v>11</v>
      </c>
      <c r="C3" s="84"/>
      <c r="D3" s="84"/>
      <c r="E3" s="85"/>
      <c r="F3" s="254"/>
      <c r="G3" s="84"/>
      <c r="H3" s="142">
        <f>F3*H2</f>
        <v>0</v>
      </c>
      <c r="I3" s="151">
        <f>(C3-D3-E3-F3-G3)*I2</f>
        <v>0</v>
      </c>
      <c r="J3" s="55">
        <v>0</v>
      </c>
      <c r="K3" s="151">
        <f>H3+I3+J3</f>
        <v>0</v>
      </c>
    </row>
    <row r="4" spans="1:11" s="86" customFormat="1" ht="15" customHeight="1">
      <c r="A4" s="83" t="s">
        <v>94</v>
      </c>
      <c r="B4" s="87" t="s">
        <v>11</v>
      </c>
      <c r="C4" s="84">
        <v>66234.02</v>
      </c>
      <c r="D4" s="84">
        <v>2514.0100000000002</v>
      </c>
      <c r="E4" s="42"/>
      <c r="F4" s="254">
        <v>4411.67</v>
      </c>
      <c r="G4" s="84">
        <v>2612.9899999999998</v>
      </c>
      <c r="H4" s="142">
        <f>F4*H2</f>
        <v>88.233400000000003</v>
      </c>
      <c r="I4" s="151">
        <f>(C4-D4-E4-F4-G4)*I2</f>
        <v>141.73837500000002</v>
      </c>
      <c r="J4" s="55">
        <v>0</v>
      </c>
      <c r="K4" s="151">
        <f>H4+I4+J4</f>
        <v>229.97177500000004</v>
      </c>
    </row>
    <row r="5" spans="1:11" s="86" customFormat="1" ht="15" customHeight="1">
      <c r="A5" s="88"/>
      <c r="B5" s="89"/>
      <c r="C5" s="44"/>
      <c r="D5" s="44"/>
      <c r="E5" s="44"/>
      <c r="F5" s="45"/>
      <c r="G5" s="45"/>
      <c r="H5" s="45"/>
      <c r="I5" s="90"/>
      <c r="J5" s="69"/>
      <c r="K5" s="69"/>
    </row>
    <row r="6" spans="1:11" s="92" customFormat="1" ht="31.5">
      <c r="A6" s="79" t="s">
        <v>1</v>
      </c>
      <c r="B6" s="79" t="s">
        <v>2</v>
      </c>
      <c r="C6" s="47" t="s">
        <v>13</v>
      </c>
      <c r="D6" s="218">
        <v>0.01</v>
      </c>
      <c r="E6" s="219" t="s">
        <v>14</v>
      </c>
      <c r="F6" s="91"/>
      <c r="G6" s="91"/>
      <c r="H6" s="91"/>
      <c r="I6" s="91"/>
      <c r="J6" s="91"/>
      <c r="K6" s="91"/>
    </row>
    <row r="7" spans="1:11" s="86" customFormat="1" ht="15" customHeight="1">
      <c r="A7" s="87" t="s">
        <v>95</v>
      </c>
      <c r="B7" s="87" t="s">
        <v>11</v>
      </c>
      <c r="C7" s="55">
        <v>27746.58</v>
      </c>
      <c r="D7" s="185">
        <f>C7*D6</f>
        <v>277.4658</v>
      </c>
      <c r="E7" s="174">
        <f>D7</f>
        <v>277.4658</v>
      </c>
      <c r="F7" s="91"/>
      <c r="G7" s="91"/>
      <c r="H7" s="91"/>
      <c r="I7" s="91"/>
      <c r="J7" s="91"/>
      <c r="K7" s="91"/>
    </row>
    <row r="8" spans="1:11" ht="15" customHeight="1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</row>
    <row r="9" spans="1:11" ht="15" customHeight="1">
      <c r="A9" s="93" t="s">
        <v>1</v>
      </c>
      <c r="B9" s="93" t="s">
        <v>2</v>
      </c>
      <c r="C9" s="94" t="s">
        <v>27</v>
      </c>
      <c r="D9" s="94" t="s">
        <v>59</v>
      </c>
      <c r="E9" s="152" t="s">
        <v>16</v>
      </c>
    </row>
    <row r="10" spans="1:11" s="86" customFormat="1" ht="15" customHeight="1">
      <c r="A10" s="87" t="s">
        <v>96</v>
      </c>
      <c r="B10" s="87" t="s">
        <v>23</v>
      </c>
      <c r="C10" s="84">
        <v>50</v>
      </c>
      <c r="D10" s="77">
        <v>50</v>
      </c>
      <c r="E10" s="134">
        <f>C10+D10</f>
        <v>100</v>
      </c>
    </row>
    <row r="11" spans="1:11" s="86" customFormat="1" ht="15" customHeight="1">
      <c r="A11" s="91"/>
      <c r="B11" s="91"/>
      <c r="C11" s="91"/>
      <c r="D11" s="91"/>
      <c r="E11" s="91"/>
      <c r="F11" s="91"/>
      <c r="G11" s="91"/>
      <c r="H11" s="91"/>
      <c r="I11" s="88"/>
    </row>
    <row r="12" spans="1:11" ht="15" customHeight="1">
      <c r="A12" s="93" t="s">
        <v>1</v>
      </c>
      <c r="B12" s="93" t="s">
        <v>2</v>
      </c>
      <c r="C12" s="160">
        <v>5.0000000000000001E-4</v>
      </c>
      <c r="D12" s="96">
        <v>8.0000000000000004E-4</v>
      </c>
      <c r="E12" s="96">
        <v>8.9999999999999998E-4</v>
      </c>
      <c r="F12" s="96">
        <v>1E-3</v>
      </c>
      <c r="G12" s="96">
        <v>1.1000000000000001E-3</v>
      </c>
      <c r="H12" s="96">
        <v>1.1999999999999999E-3</v>
      </c>
      <c r="I12" s="141" t="s">
        <v>16</v>
      </c>
    </row>
    <row r="13" spans="1:11">
      <c r="A13" s="87" t="s">
        <v>97</v>
      </c>
      <c r="B13" s="87" t="s">
        <v>63</v>
      </c>
      <c r="C13" s="161"/>
      <c r="D13" s="251"/>
      <c r="E13" s="251">
        <f>213772.71*E12</f>
        <v>192.39543899999998</v>
      </c>
      <c r="F13" s="84"/>
      <c r="G13" s="77"/>
      <c r="H13" s="42"/>
      <c r="I13" s="142">
        <f>C13</f>
        <v>0</v>
      </c>
    </row>
    <row r="14" spans="1:11" s="86" customFormat="1" ht="15" customHeight="1">
      <c r="A14" s="78"/>
      <c r="B14" s="78"/>
      <c r="C14" s="76"/>
      <c r="G14" s="78"/>
      <c r="H14" s="78"/>
      <c r="I14" s="78"/>
    </row>
    <row r="15" spans="1:11" ht="15" customHeight="1">
      <c r="C15" s="86"/>
      <c r="D15" s="86"/>
      <c r="E15" s="86"/>
      <c r="F15" s="86"/>
      <c r="G15" s="86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scale="97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Cliente</dc:creator>
  <cp:keywords/>
  <dc:description/>
  <cp:lastModifiedBy>X</cp:lastModifiedBy>
  <cp:revision/>
  <dcterms:created xsi:type="dcterms:W3CDTF">2022-05-04T15:00:31Z</dcterms:created>
  <dcterms:modified xsi:type="dcterms:W3CDTF">2025-10-22T13:26:09Z</dcterms:modified>
  <cp:category/>
  <cp:contentStatus/>
</cp:coreProperties>
</file>